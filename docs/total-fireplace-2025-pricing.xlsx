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tail Pricing" sheetId="1" state="visible" r:id="rId3"/>
    <sheet name="Pricing Logi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<sst xmlns="http://schemas.openxmlformats.org/spreadsheetml/2006/main" count="1534" uniqueCount="762">
  <si>
    <t xml:space="preserve">Category</t>
  </si>
  <si>
    <t xml:space="preserve">Manufacturer</t>
  </si>
  <si>
    <t xml:space="preserve">SKU</t>
  </si>
  <si>
    <t xml:space="preserve">Product Name</t>
  </si>
  <si>
    <t xml:space="preserve">Variant</t>
  </si>
  <si>
    <t xml:space="preserve">Description</t>
  </si>
  <si>
    <t xml:space="preserve">Wholesale Price</t>
  </si>
  <si>
    <t xml:space="preserve">Shipping Tier</t>
  </si>
  <si>
    <t xml:space="preserve">Shipping %</t>
  </si>
  <si>
    <t xml:space="preserve">Retail Price</t>
  </si>
  <si>
    <t xml:space="preserve">Stovepipe Hardware</t>
  </si>
  <si>
    <t xml:space="preserve">Heatsafe</t>
  </si>
  <si>
    <t xml:space="preserve">PSCR-500</t>
  </si>
  <si>
    <t xml:space="preserve">Stovepipe Screws</t>
  </si>
  <si>
    <t xml:space="preserve">500 count box</t>
  </si>
  <si>
    <t xml:space="preserve">Self-drilling #8 hex-head sheet metal screws for stovepipe and chimney pipe assembly, 500-count bulk pack.</t>
  </si>
  <si>
    <t xml:space="preserve">Heavy</t>
  </si>
  <si>
    <t xml:space="preserve">Hearth Tools</t>
  </si>
  <si>
    <t xml:space="preserve">Hy-C</t>
  </si>
  <si>
    <t xml:space="preserve">ASB-KK1</t>
  </si>
  <si>
    <t xml:space="preserve">Coal Keeper Ash Shovel</t>
  </si>
  <si>
    <t xml:space="preserve">Steel ash shovel designed to sift coals and retain usable embers while removing ash.</t>
  </si>
  <si>
    <t xml:space="preserve">Light</t>
  </si>
  <si>
    <t xml:space="preserve">Fireplace Grates</t>
  </si>
  <si>
    <t xml:space="preserve">GT-18</t>
  </si>
  <si>
    <t xml:space="preserve">Saf-T-Grate Cast Iron Fireplace Grate</t>
  </si>
  <si>
    <t xml:space="preserve">18 inch</t>
  </si>
  <si>
    <t xml:space="preserve">Heavy-duty cast iron fireplace grate, 18 inch width, supports logs and promotes airflow.</t>
  </si>
  <si>
    <t xml:space="preserve">GT-22</t>
  </si>
  <si>
    <t xml:space="preserve">22 inch</t>
  </si>
  <si>
    <t xml:space="preserve">Heavy-duty cast iron fireplace grate, 22 inch width, supports logs and promotes airflow.</t>
  </si>
  <si>
    <t xml:space="preserve">Log Racks</t>
  </si>
  <si>
    <t xml:space="preserve">SLRA</t>
  </si>
  <si>
    <t xml:space="preserve">Tubular Adjustable Firewood Log Rack</t>
  </si>
  <si>
    <t xml:space="preserve">Adjustable</t>
  </si>
  <si>
    <t xml:space="preserve">Tubular steel indoor/outdoor firewood rack with adjustable length.</t>
  </si>
  <si>
    <t xml:space="preserve">SLRC-M</t>
  </si>
  <si>
    <t xml:space="preserve">Firewood Log Rack Cover</t>
  </si>
  <si>
    <t xml:space="preserve">48 inch</t>
  </si>
  <si>
    <t xml:space="preserve">Waterproof vinyl cover sized to fit the 48 inch firewood rack.</t>
  </si>
  <si>
    <t xml:space="preserve">SLRM</t>
  </si>
  <si>
    <t xml:space="preserve">Steel Firewood Log Rack</t>
  </si>
  <si>
    <t xml:space="preserve">45 inch</t>
  </si>
  <si>
    <t xml:space="preserve">Tubular steel indoor/outdoor firewood rack, 45 inch fixed length.</t>
  </si>
  <si>
    <t xml:space="preserve">Imperial</t>
  </si>
  <si>
    <t xml:space="preserve">LTO160</t>
  </si>
  <si>
    <t xml:space="preserve">Ash Bucket and Shovel Set</t>
  </si>
  <si>
    <t xml:space="preserve">Black</t>
  </si>
  <si>
    <t xml:space="preserve">Double-walled steel ash bucket with lid and matching shovel, powder-coated black finish.</t>
  </si>
  <si>
    <t xml:space="preserve">LTO161</t>
  </si>
  <si>
    <t xml:space="preserve">Coal Hod and Shovel Set</t>
  </si>
  <si>
    <t xml:space="preserve">Angled black steel coal hod with matching shovel for loading wood or coal into stoves.</t>
  </si>
  <si>
    <t xml:space="preserve">LTO162</t>
  </si>
  <si>
    <t xml:space="preserve">Ash Shovel</t>
  </si>
  <si>
    <t xml:space="preserve">Black steel ash shovel, replacement or standalone.</t>
  </si>
  <si>
    <t xml:space="preserve">LTO163</t>
  </si>
  <si>
    <t xml:space="preserve">Coal Hod</t>
  </si>
  <si>
    <t xml:space="preserve">Angled black steel coal hod for loading fuel into stoves and fireplaces.</t>
  </si>
  <si>
    <t xml:space="preserve">LTO165</t>
  </si>
  <si>
    <t xml:space="preserve">Antique Brass</t>
  </si>
  <si>
    <t xml:space="preserve">Double-walled steel ash bucket with lid and matching shovel, antique brass finish.</t>
  </si>
  <si>
    <t xml:space="preserve">LTO174</t>
  </si>
  <si>
    <t xml:space="preserve">Brass</t>
  </si>
  <si>
    <t xml:space="preserve">Brass-finish steel ash shovel, replacement or standalone.</t>
  </si>
  <si>
    <t xml:space="preserve">LTO176</t>
  </si>
  <si>
    <t xml:space="preserve">Angled brass-finish steel coal hod for loading fuel into stoves and fireplaces.</t>
  </si>
  <si>
    <t xml:space="preserve">LTO185</t>
  </si>
  <si>
    <t xml:space="preserve">Angled brass-finish coal hod with matching shovel.</t>
  </si>
  <si>
    <t xml:space="preserve">Package Gaskets</t>
  </si>
  <si>
    <t xml:space="preserve">Meeco</t>
  </si>
  <si>
    <t xml:space="preserve">201</t>
  </si>
  <si>
    <t xml:space="preserve">Fiberglass Door Gasket</t>
  </si>
  <si>
    <t xml:space="preserve">1/4 inch x 6 ft</t>
  </si>
  <si>
    <t xml:space="preserve">Pre-cut fiberglass rope door gasket for wood and pellet stoves, 1/4 inch diameter, 6 foot length.</t>
  </si>
  <si>
    <t xml:space="preserve">202</t>
  </si>
  <si>
    <t xml:space="preserve">3/8 inch x 6 ft</t>
  </si>
  <si>
    <t xml:space="preserve">Pre-cut fiberglass rope door gasket, 3/8 inch diameter, 6 foot length.</t>
  </si>
  <si>
    <t xml:space="preserve">203</t>
  </si>
  <si>
    <t xml:space="preserve">1/2 inch x 6 ft</t>
  </si>
  <si>
    <t xml:space="preserve">Pre-cut fiberglass rope door gasket, 1/2 inch diameter, 6 foot length.</t>
  </si>
  <si>
    <t xml:space="preserve">204</t>
  </si>
  <si>
    <t xml:space="preserve">5/8 inch x 6 ft</t>
  </si>
  <si>
    <t xml:space="preserve">Pre-cut fiberglass rope door gasket, 5/8 inch diameter, 6 foot length.</t>
  </si>
  <si>
    <t xml:space="preserve">204F</t>
  </si>
  <si>
    <t xml:space="preserve">Fiberglass Door Gasket, Firm Density</t>
  </si>
  <si>
    <t xml:space="preserve">Firm-density pre-cut fiberglass rope gasket for a tighter seal, 5/8 inch diameter, 6 foot length.</t>
  </si>
  <si>
    <t xml:space="preserve">205</t>
  </si>
  <si>
    <t xml:space="preserve">3/4 inch x 6 ft</t>
  </si>
  <si>
    <t xml:space="preserve">Pre-cut fiberglass rope door gasket, 3/4 inch diameter, 6 foot length.</t>
  </si>
  <si>
    <t xml:space="preserve">206</t>
  </si>
  <si>
    <t xml:space="preserve">1 inch x 6 ft</t>
  </si>
  <si>
    <t xml:space="preserve">Pre-cut fiberglass rope door gasket, 1 inch diameter, 6 foot length.</t>
  </si>
  <si>
    <t xml:space="preserve">212</t>
  </si>
  <si>
    <t xml:space="preserve">7/8 inch x 6 ft</t>
  </si>
  <si>
    <t xml:space="preserve">Pre-cut fiberglass rope door gasket, 7/8 inch diameter, 6 foot length.</t>
  </si>
  <si>
    <t xml:space="preserve">216</t>
  </si>
  <si>
    <t xml:space="preserve">1-1/4 inch x 6 ft</t>
  </si>
  <si>
    <t xml:space="preserve">Pre-cut fiberglass rope door gasket, 1-1/4 inch diameter, 6 foot length.</t>
  </si>
  <si>
    <t xml:space="preserve">Window Channel</t>
  </si>
  <si>
    <t xml:space="preserve">301B</t>
  </si>
  <si>
    <t xml:space="preserve">Stove Glass Window Channel</t>
  </si>
  <si>
    <t xml:space="preserve">Black, 6 ft</t>
  </si>
  <si>
    <t xml:space="preserve">Black flat fiberglass window channel gasket for stove glass, 6 foot length.</t>
  </si>
  <si>
    <t xml:space="preserve">301W</t>
  </si>
  <si>
    <t xml:space="preserve">White, 6 ft</t>
  </si>
  <si>
    <t xml:space="preserve">White flat fiberglass window channel gasket for stove glass, 6 foot length.</t>
  </si>
  <si>
    <t xml:space="preserve">3053</t>
  </si>
  <si>
    <t xml:space="preserve">Flat Fiberglass Gasket</t>
  </si>
  <si>
    <t xml:space="preserve">Pre-cut flat fiberglass gasket, 5/8 inch wide, 6 foot length.</t>
  </si>
  <si>
    <t xml:space="preserve">3102</t>
  </si>
  <si>
    <t xml:space="preserve">Pre-cut flat fiberglass gasket, 3/4 inch wide, 6 foot length.</t>
  </si>
  <si>
    <t xml:space="preserve">Cement &amp; Sealants</t>
  </si>
  <si>
    <t xml:space="preserve">#110</t>
  </si>
  <si>
    <t xml:space="preserve">Gasket Cement</t>
  </si>
  <si>
    <t xml:space="preserve">3 oz tube</t>
  </si>
  <si>
    <t xml:space="preserve">High-temperature adhesive for securing door and glass gaskets, 3 oz squeeze tube.</t>
  </si>
  <si>
    <t xml:space="preserve">#110C</t>
  </si>
  <si>
    <t xml:space="preserve">Gasket Cement Cartridge</t>
  </si>
  <si>
    <t xml:space="preserve">10 oz</t>
  </si>
  <si>
    <t xml:space="preserve">High-temperature gasket adhesive in 10 oz caulk cartridge.</t>
  </si>
  <si>
    <t xml:space="preserve">Creosote &amp; Soot</t>
  </si>
  <si>
    <t xml:space="preserve">#12</t>
  </si>
  <si>
    <t xml:space="preserve">Liquid Creosote Destroyer</t>
  </si>
  <si>
    <t xml:space="preserve">32 oz</t>
  </si>
  <si>
    <t xml:space="preserve">Liquid creosote-reducing treatment sprayed on logs before burning, 32 oz bottle.</t>
  </si>
  <si>
    <t xml:space="preserve">#120</t>
  </si>
  <si>
    <t xml:space="preserve">Furnace Cement Cartridge</t>
  </si>
  <si>
    <t xml:space="preserve">Black, 11 oz</t>
  </si>
  <si>
    <t xml:space="preserve">High-temperature refractory cement for repairs around stoves and fireboxes, black, 11 oz cartridge.</t>
  </si>
  <si>
    <t xml:space="preserve">#121</t>
  </si>
  <si>
    <t xml:space="preserve">Gray, 11 oz</t>
  </si>
  <si>
    <t xml:space="preserve">High-temperature refractory cement for repairs around stoves and fireboxes, gray, 11 oz cartridge.</t>
  </si>
  <si>
    <t xml:space="preserve">#122</t>
  </si>
  <si>
    <t xml:space="preserve">Buff, 11 oz</t>
  </si>
  <si>
    <t xml:space="preserve">High-temperature refractory cement for repairs around stoves and fireboxes, buff, 11 oz cartridge.</t>
  </si>
  <si>
    <t xml:space="preserve">#14</t>
  </si>
  <si>
    <t xml:space="preserve">Creosote Destroyer</t>
  </si>
  <si>
    <t xml:space="preserve">1 lb</t>
  </si>
  <si>
    <t xml:space="preserve">Powdered creosote remover sprinkled on hot coals to reduce flue buildup, 1 lb container.</t>
  </si>
  <si>
    <t xml:space="preserve">#16</t>
  </si>
  <si>
    <t xml:space="preserve">Soot Remover</t>
  </si>
  <si>
    <t xml:space="preserve">Powdered soot remover for wood-burning appliances, 1 lb container.</t>
  </si>
  <si>
    <t xml:space="preserve">#17</t>
  </si>
  <si>
    <t xml:space="preserve">2 lb</t>
  </si>
  <si>
    <t xml:space="preserve">Powdered soot remover for wood-burning appliances, 2 lb container.</t>
  </si>
  <si>
    <t xml:space="preserve">#19</t>
  </si>
  <si>
    <t xml:space="preserve">Liquid Soot Remover</t>
  </si>
  <si>
    <t xml:space="preserve">Quart</t>
  </si>
  <si>
    <t xml:space="preserve">Liquid soot remover sprayed on fuel before burning, 32 oz bottle.</t>
  </si>
  <si>
    <t xml:space="preserve">Silicone</t>
  </si>
  <si>
    <t xml:space="preserve">#600B</t>
  </si>
  <si>
    <t xml:space="preserve">High-Temp RTV Silicone Tube</t>
  </si>
  <si>
    <t xml:space="preserve">Black, 2.8 oz</t>
  </si>
  <si>
    <t xml:space="preserve">High-temperature RTV silicone sealant in 2.8 oz squeeze tube, black.</t>
  </si>
  <si>
    <t xml:space="preserve">#600C</t>
  </si>
  <si>
    <t xml:space="preserve">Clear, 2.8 oz</t>
  </si>
  <si>
    <t xml:space="preserve">High-temperature RTV silicone sealant in 2.8 oz squeeze tube, clear.</t>
  </si>
  <si>
    <t xml:space="preserve">#600R</t>
  </si>
  <si>
    <t xml:space="preserve">Red, 2.8 oz</t>
  </si>
  <si>
    <t xml:space="preserve">High-temperature RTV silicone sealant in 2.8 oz squeeze tube, red.</t>
  </si>
  <si>
    <t xml:space="preserve">#601B</t>
  </si>
  <si>
    <t xml:space="preserve">High-Temp RTV Silicone Cartridge</t>
  </si>
  <si>
    <t xml:space="preserve">Black, 10 oz</t>
  </si>
  <si>
    <t xml:space="preserve">High-temperature RTV silicone sealant, 10 oz caulk cartridge, black.</t>
  </si>
  <si>
    <t xml:space="preserve">#601C</t>
  </si>
  <si>
    <t xml:space="preserve">Clear, 10 oz</t>
  </si>
  <si>
    <t xml:space="preserve">High-temperature RTV silicone sealant, 10 oz caulk cartridge, clear.</t>
  </si>
  <si>
    <t xml:space="preserve">#613</t>
  </si>
  <si>
    <t xml:space="preserve">Red, 10 oz</t>
  </si>
  <si>
    <t xml:space="preserve">High-temperature RTV silicone sealant, 10 oz caulk cartridge, red.</t>
  </si>
  <si>
    <t xml:space="preserve">#615</t>
  </si>
  <si>
    <t xml:space="preserve">Direct Vent Sealant Cartridge</t>
  </si>
  <si>
    <t xml:space="preserve">High-temperature direct vent sealant for gas appliance venting, 10 oz cartridge.</t>
  </si>
  <si>
    <t xml:space="preserve">1004</t>
  </si>
  <si>
    <t xml:space="preserve">Creosote Control Log 4-Pack</t>
  </si>
  <si>
    <t xml:space="preserve">Chemical creosote-control log, burned with regular firewood to reduce flue deposits, 4-pack.</t>
  </si>
  <si>
    <t xml:space="preserve">#25</t>
  </si>
  <si>
    <t xml:space="preserve">Powdered creosote remover sprinkled on hot coals to reduce flue buildup, 2 lb container.</t>
  </si>
  <si>
    <t xml:space="preserve">Stove Polish</t>
  </si>
  <si>
    <t xml:space="preserve">#402</t>
  </si>
  <si>
    <t xml:space="preserve">Stove Polish Paste Jar</t>
  </si>
  <si>
    <t xml:space="preserve">Black, 4 oz</t>
  </si>
  <si>
    <t xml:space="preserve">Black paste stove polish for restoring cast iron and stove finishes, 4 oz jar.</t>
  </si>
  <si>
    <t xml:space="preserve">Thermometers</t>
  </si>
  <si>
    <t xml:space="preserve">#425</t>
  </si>
  <si>
    <t xml:space="preserve">Stove Thermometer</t>
  </si>
  <si>
    <t xml:space="preserve">Magnetic or surface-mount stovetop thermometer showing safe burn range.</t>
  </si>
  <si>
    <t xml:space="preserve">Hearth &amp; Glass Cleaners</t>
  </si>
  <si>
    <t xml:space="preserve">#504</t>
  </si>
  <si>
    <t xml:space="preserve">Brick and Masonry Cleaner</t>
  </si>
  <si>
    <t xml:space="preserve">Ready-to-use brick and masonry cleaner, 32 oz bottle.</t>
  </si>
  <si>
    <t xml:space="preserve">Hearth Accessories</t>
  </si>
  <si>
    <t xml:space="preserve">#5050</t>
  </si>
  <si>
    <t xml:space="preserve">Mantel Heat Protector Shield</t>
  </si>
  <si>
    <t xml:space="preserve">Reflective metal mantel heat shield that deflects heat away from wood mantels above fireplaces.</t>
  </si>
  <si>
    <t xml:space="preserve">#5101</t>
  </si>
  <si>
    <t xml:space="preserve">Stovepipe Heat Deflector</t>
  </si>
  <si>
    <t xml:space="preserve">Metal stovepipe heat deflector reducing clearance to combustibles behind stovepipe.</t>
  </si>
  <si>
    <t xml:space="preserve">Gas Fireplace Media</t>
  </si>
  <si>
    <t xml:space="preserve">#580</t>
  </si>
  <si>
    <t xml:space="preserve">Silica Sand for Gas Log Sets</t>
  </si>
  <si>
    <t xml:space="preserve">6 lb</t>
  </si>
  <si>
    <t xml:space="preserve">High-temperature silica sand used under gas log sets, 6 lb bag.</t>
  </si>
  <si>
    <t xml:space="preserve">#585</t>
  </si>
  <si>
    <t xml:space="preserve">Glowing Embers for Gas Log Sets</t>
  </si>
  <si>
    <t xml:space="preserve">12 oz</t>
  </si>
  <si>
    <t xml:space="preserve">Ceramic fiber glowing embers that simulate red-hot coals in gas fireplaces, 12 oz bag.</t>
  </si>
  <si>
    <t xml:space="preserve">#595</t>
  </si>
  <si>
    <t xml:space="preserve">Decorative Lava Rock</t>
  </si>
  <si>
    <t xml:space="preserve">5 lb</t>
  </si>
  <si>
    <t xml:space="preserve">Decorative lava rock for gas fireplaces and fire pits, 5 lb bag.</t>
  </si>
  <si>
    <t xml:space="preserve">WSPC</t>
  </si>
  <si>
    <t xml:space="preserve">Wall Spacer Kit</t>
  </si>
  <si>
    <t xml:space="preserve">Steel wall spacer kit for reducing single-wall stovepipe clearance to combustibles.</t>
  </si>
  <si>
    <t xml:space="preserve">#701</t>
  </si>
  <si>
    <t xml:space="preserve">Wood Stove Glass Cleaner</t>
  </si>
  <si>
    <t xml:space="preserve">16 oz</t>
  </si>
  <si>
    <t xml:space="preserve">Spray cleaner that removes creosote and soot from wood stove glass, 16 oz.</t>
  </si>
  <si>
    <t xml:space="preserve">#702</t>
  </si>
  <si>
    <t xml:space="preserve">64 oz</t>
  </si>
  <si>
    <t xml:space="preserve">Spray cleaner that removes creosote and soot from wood stove glass, 64 oz refill jug.</t>
  </si>
  <si>
    <t xml:space="preserve">#710</t>
  </si>
  <si>
    <t xml:space="preserve">Gas Fireplace Glass Cleaner</t>
  </si>
  <si>
    <t xml:space="preserve">8 oz</t>
  </si>
  <si>
    <t xml:space="preserve">Spray cleaner formulated for gas fireplace glass and white-film residue, 8 oz.</t>
  </si>
  <si>
    <t xml:space="preserve">Firestarters</t>
  </si>
  <si>
    <t xml:space="preserve">#418</t>
  </si>
  <si>
    <t xml:space="preserve">Fire Blox Firestarter Squares</t>
  </si>
  <si>
    <t xml:space="preserve">24 pack</t>
  </si>
  <si>
    <t xml:space="preserve">Compressed wax-and-wood firestarter squares, 24-pack box.</t>
  </si>
  <si>
    <t xml:space="preserve">#419</t>
  </si>
  <si>
    <t xml:space="preserve">144 pack</t>
  </si>
  <si>
    <t xml:space="preserve">Compressed wax-and-wood firestarter squares, 144-pack bulk box.</t>
  </si>
  <si>
    <t xml:space="preserve">#432</t>
  </si>
  <si>
    <t xml:space="preserve">Firestarter Gel</t>
  </si>
  <si>
    <t xml:space="preserve">Gelled firestarter for wood stoves and fireplaces, 32 oz bottle.</t>
  </si>
  <si>
    <t xml:space="preserve">#442-4</t>
  </si>
  <si>
    <t xml:space="preserve">Fatwood Firestarter Sticks</t>
  </si>
  <si>
    <t xml:space="preserve">4 lb bag</t>
  </si>
  <si>
    <t xml:space="preserve">Resin-rich pine firestarter sticks that light with one match, 4 lb bag.</t>
  </si>
  <si>
    <t xml:space="preserve">#442-8</t>
  </si>
  <si>
    <t xml:space="preserve">8 lb box</t>
  </si>
  <si>
    <t xml:space="preserve">Resin-rich pine firestarter sticks that light with one match, 8 lb box.</t>
  </si>
  <si>
    <t xml:space="preserve">#442-10</t>
  </si>
  <si>
    <t xml:space="preserve">10 lb box</t>
  </si>
  <si>
    <t xml:space="preserve">Resin-rich pine firestarter sticks that light with one match, 10 lb box.</t>
  </si>
  <si>
    <t xml:space="preserve">Hearth Rugs</t>
  </si>
  <si>
    <t xml:space="preserve">Minuteman</t>
  </si>
  <si>
    <t xml:space="preserve">H20</t>
  </si>
  <si>
    <t xml:space="preserve">Oriental Wool Hearth Rug</t>
  </si>
  <si>
    <t xml:space="preserve">Rectangular 44"x22", Blue</t>
  </si>
  <si>
    <t xml:space="preserve">Wool Oriental-pattern hearth rug meeting CPSC flame resistance standard, rectangular 44 by 22 inch, blue.</t>
  </si>
  <si>
    <t xml:space="preserve">H21</t>
  </si>
  <si>
    <t xml:space="preserve">Rectangular 44"x22", Beige</t>
  </si>
  <si>
    <t xml:space="preserve">Wool Oriental-pattern hearth rug meeting CPSC flame resistance standard, rectangular 44 by 22 inch, beige.</t>
  </si>
  <si>
    <t xml:space="preserve">H22</t>
  </si>
  <si>
    <t xml:space="preserve">Rectangular 44"x22", Burgundy</t>
  </si>
  <si>
    <t xml:space="preserve">Wool Oriental-pattern hearth rug meeting CPSC flame resistance standard, rectangular 44 by 22 inch, burgundy.</t>
  </si>
  <si>
    <t xml:space="preserve">H23</t>
  </si>
  <si>
    <t xml:space="preserve">Half Round 44"x22", Blue</t>
  </si>
  <si>
    <t xml:space="preserve">Wool Oriental-pattern hearth rug meeting CPSC flame resistance standard, half-round 44 by 22 inch, blue.</t>
  </si>
  <si>
    <t xml:space="preserve">H24</t>
  </si>
  <si>
    <t xml:space="preserve">Half Round 44"x22", Beige</t>
  </si>
  <si>
    <t xml:space="preserve">Wool Oriental-pattern hearth rug meeting CPSC flame resistance standard, half-round 44 by 22 inch, beige.</t>
  </si>
  <si>
    <t xml:space="preserve">H25</t>
  </si>
  <si>
    <t xml:space="preserve">Half Round 44"x22", Burgundy</t>
  </si>
  <si>
    <t xml:space="preserve">Wool Oriental-pattern hearth rug meeting CPSC flame resistance standard, half-round 44 by 22 inch, burgundy.</t>
  </si>
  <si>
    <t xml:space="preserve">H30</t>
  </si>
  <si>
    <t xml:space="preserve">Rectangular 56"x26", Blue</t>
  </si>
  <si>
    <t xml:space="preserve">Wool Oriental-pattern hearth rug, rectangular 56 by 26 inch, blue.</t>
  </si>
  <si>
    <t xml:space="preserve">H31</t>
  </si>
  <si>
    <t xml:space="preserve">Rectangular 56"x26", Beige</t>
  </si>
  <si>
    <t xml:space="preserve">Wool Oriental-pattern hearth rug, rectangular 56 by 26 inch, beige.</t>
  </si>
  <si>
    <t xml:space="preserve">H32</t>
  </si>
  <si>
    <t xml:space="preserve">Rectangular 56"x26", Burgundy</t>
  </si>
  <si>
    <t xml:space="preserve">Wool Oriental-pattern hearth rug, rectangular 56 by 26 inch, burgundy.</t>
  </si>
  <si>
    <t xml:space="preserve">H33</t>
  </si>
  <si>
    <t xml:space="preserve">Half Round 56"x26", Blue</t>
  </si>
  <si>
    <t xml:space="preserve">Wool Oriental-pattern hearth rug, half-round 56 by 26 inch, blue.</t>
  </si>
  <si>
    <t xml:space="preserve">H34</t>
  </si>
  <si>
    <t xml:space="preserve">Half Round 56"x26", Beige</t>
  </si>
  <si>
    <t xml:space="preserve">Wool Oriental-pattern hearth rug, half-round 56 by 26 inch, beige.</t>
  </si>
  <si>
    <t xml:space="preserve">H35</t>
  </si>
  <si>
    <t xml:space="preserve">Half Round 56"x26", Burgundy</t>
  </si>
  <si>
    <t xml:space="preserve">Wool Oriental-pattern hearth rug, half-round 56 by 26 inch, burgundy.</t>
  </si>
  <si>
    <t xml:space="preserve">H41M</t>
  </si>
  <si>
    <t xml:space="preserve">Contemporary Hearth Rug</t>
  </si>
  <si>
    <t xml:space="preserve">Rectangular 44"x22", Mulberry</t>
  </si>
  <si>
    <t xml:space="preserve">Wool Contemporary hearth rug, rectangular 44 by 22 inch, mulberry.</t>
  </si>
  <si>
    <t xml:space="preserve">H44 CONTEMPORARY</t>
  </si>
  <si>
    <t xml:space="preserve">Rectangular 44"x22", Colonial Blue</t>
  </si>
  <si>
    <t xml:space="preserve">Wool Contemporary hearth rug, rectangular 44 by 22 inch, colonial blue.</t>
  </si>
  <si>
    <t xml:space="preserve">H44P CONTEMPORARY</t>
  </si>
  <si>
    <t xml:space="preserve">Rectangular 44"x22", Prairie</t>
  </si>
  <si>
    <t xml:space="preserve">Wool Contemporary hearth rug, rectangular 44 by 22 inch, prairie.</t>
  </si>
  <si>
    <t xml:space="preserve">H46M CONTEMPORARY</t>
  </si>
  <si>
    <t xml:space="preserve">Half Round 44"x22", Mulberry</t>
  </si>
  <si>
    <t xml:space="preserve">Wool Contemporary hearth rug, half-round 44 by 22 inch, mulberry.</t>
  </si>
  <si>
    <t xml:space="preserve">H47 CONTEMPORARY</t>
  </si>
  <si>
    <t xml:space="preserve">Half Round 44"x22", Royal Blue</t>
  </si>
  <si>
    <t xml:space="preserve">Wool Contemporary hearth rug, half-round 44 by 22 inch, royal blue.</t>
  </si>
  <si>
    <t xml:space="preserve">H49 CONTEMPORARY</t>
  </si>
  <si>
    <t xml:space="preserve">Wool Contemporary hearth rug, rectangular 44 by 22 inch, colonial blue (alternate pattern of H44).</t>
  </si>
  <si>
    <t xml:space="preserve">H503</t>
  </si>
  <si>
    <t xml:space="preserve">Americana Hearth Rug</t>
  </si>
  <si>
    <t xml:space="preserve">Rectangular 44"x22", Green</t>
  </si>
  <si>
    <t xml:space="preserve">Wool Americana-style hearth rug, rectangular 44 by 22 inch, green.</t>
  </si>
  <si>
    <t xml:space="preserve">H504</t>
  </si>
  <si>
    <t xml:space="preserve">Rectangular 44"x22", Beige/Green</t>
  </si>
  <si>
    <t xml:space="preserve">Wool Americana-style hearth rug, rectangular 44 by 22 inch, beige and green.</t>
  </si>
  <si>
    <t xml:space="preserve">H505</t>
  </si>
  <si>
    <t xml:space="preserve">Rectangular 44"x22", Navy</t>
  </si>
  <si>
    <t xml:space="preserve">Wool Americana-style hearth rug, rectangular 44 by 22 inch, navy.</t>
  </si>
  <si>
    <t xml:space="preserve">H60</t>
  </si>
  <si>
    <t xml:space="preserve">Solid Hearth Rug</t>
  </si>
  <si>
    <t xml:space="preserve">Wool solid-color hearth rug, rectangular 44 by 22 inch, navy.</t>
  </si>
  <si>
    <t xml:space="preserve">H602</t>
  </si>
  <si>
    <t xml:space="preserve">Jardin Wool Hearth Rug</t>
  </si>
  <si>
    <t xml:space="preserve">Rectangular 44"x22", Noir</t>
  </si>
  <si>
    <t xml:space="preserve">Wool Jardin-series hearth rug with floral medallion pattern, rectangular 44 by 22 inch, noir.</t>
  </si>
  <si>
    <t xml:space="preserve">H605</t>
  </si>
  <si>
    <t xml:space="preserve">Half Round 44"x22", Noir</t>
  </si>
  <si>
    <t xml:space="preserve">Wool Jardin-series hearth rug with floral medallion pattern, half-round 44 by 22 inch, noir.</t>
  </si>
  <si>
    <t xml:space="preserve">H62</t>
  </si>
  <si>
    <t xml:space="preserve">Premium Wool Hearth Rug</t>
  </si>
  <si>
    <t xml:space="preserve">Rectangular 44"x22", Cocoa</t>
  </si>
  <si>
    <t xml:space="preserve">Premium wool hearth rug, rectangular 44 by 22 inch, cocoa (higher-grade line, verify sub-pattern with supplier).</t>
  </si>
  <si>
    <t xml:space="preserve">H64</t>
  </si>
  <si>
    <t xml:space="preserve">Contemporary II Hearth Rug</t>
  </si>
  <si>
    <t xml:space="preserve">Wool Contemporary II hearth rug, rectangular 44 by 22 inch, cocoa (verify size with supplier; H64 is also sold in 56 inch).</t>
  </si>
  <si>
    <t xml:space="preserve">Kettles &amp; Steamers</t>
  </si>
  <si>
    <t xml:space="preserve">T-16 BL</t>
  </si>
  <si>
    <t xml:space="preserve">Cast Iron Steamer Kettle</t>
  </si>
  <si>
    <t xml:space="preserve">2.5 qt, Blue</t>
  </si>
  <si>
    <t xml:space="preserve">Cast iron stovetop steamer kettle that humidifies room air from a hot stove, 2.5 quart, blue enamel.</t>
  </si>
  <si>
    <t xml:space="preserve">T-16 BLK &amp; WHITE</t>
  </si>
  <si>
    <t xml:space="preserve">2.5 qt, Black &amp; White Speckle</t>
  </si>
  <si>
    <t xml:space="preserve">Cast iron stovetop steamer kettle, 2.5 quart, black and white speckle enamel.</t>
  </si>
  <si>
    <t xml:space="preserve">T-16 GR</t>
  </si>
  <si>
    <t xml:space="preserve">2.5 qt, Green</t>
  </si>
  <si>
    <t xml:space="preserve">Cast iron stovetop steamer kettle, 2.5 quart, green enamel.</t>
  </si>
  <si>
    <t xml:space="preserve">Rutland</t>
  </si>
  <si>
    <t xml:space="preserve">565</t>
  </si>
  <si>
    <t xml:space="preserve">White-Off Gas Glass Cleaner</t>
  </si>
  <si>
    <t xml:space="preserve">Rutland White-Off glass cleaner formulated to remove white hard-water film from gas fireplace glass.</t>
  </si>
  <si>
    <t xml:space="preserve">70</t>
  </si>
  <si>
    <t xml:space="preserve">Stove and Grill Polish</t>
  </si>
  <si>
    <t xml:space="preserve">2.3 oz tube</t>
  </si>
  <si>
    <t xml:space="preserve">Rutland black stove and grill polish paste, 2.3 oz tube.</t>
  </si>
  <si>
    <t xml:space="preserve">702</t>
  </si>
  <si>
    <t xml:space="preserve">Fireplace Gloves</t>
  </si>
  <si>
    <t xml:space="preserve">Leather</t>
  </si>
  <si>
    <t xml:space="preserve">Heat-resistant leather fireplace gloves for handling logs and stove doors.</t>
  </si>
  <si>
    <t xml:space="preserve">Gasket Rolls (Bulk)</t>
  </si>
  <si>
    <t xml:space="preserve">721</t>
  </si>
  <si>
    <t xml:space="preserve">Fiberglass Gasket Roll</t>
  </si>
  <si>
    <t xml:space="preserve">5/16 inch x 200 ft</t>
  </si>
  <si>
    <t xml:space="preserve">Bulk fiberglass rope gasket roll, 5/16 inch diameter, 200 foot length.</t>
  </si>
  <si>
    <t xml:space="preserve">721N</t>
  </si>
  <si>
    <t xml:space="preserve">1/4 inch x 200 ft</t>
  </si>
  <si>
    <t xml:space="preserve">Bulk fiberglass rope gasket roll, 1/4 inch diameter, 200 foot length.</t>
  </si>
  <si>
    <t xml:space="preserve">722</t>
  </si>
  <si>
    <t xml:space="preserve">3/8 inch x 132 ft</t>
  </si>
  <si>
    <t xml:space="preserve">Bulk fiberglass rope gasket roll, 3/8 inch diameter, 132 foot length.</t>
  </si>
  <si>
    <t xml:space="preserve">723</t>
  </si>
  <si>
    <t xml:space="preserve">1/2 inch x 88 ft</t>
  </si>
  <si>
    <t xml:space="preserve">Bulk fiberglass rope gasket roll, 1/2 inch diameter, 88 foot length.</t>
  </si>
  <si>
    <t xml:space="preserve">724</t>
  </si>
  <si>
    <t xml:space="preserve">5/8 inch x 65 ft</t>
  </si>
  <si>
    <t xml:space="preserve">Bulk fiberglass rope gasket roll, 5/8 inch diameter, 65 foot length.</t>
  </si>
  <si>
    <t xml:space="preserve">725</t>
  </si>
  <si>
    <t xml:space="preserve">3/4 inch x 47 ft</t>
  </si>
  <si>
    <t xml:space="preserve">Bulk fiberglass rope gasket roll, 3/4 inch diameter, 47 foot length.</t>
  </si>
  <si>
    <t xml:space="preserve">725W</t>
  </si>
  <si>
    <t xml:space="preserve">7/8 inch x 40 ft</t>
  </si>
  <si>
    <t xml:space="preserve">Bulk fiberglass rope gasket roll, 7/8 inch diameter, 40 foot length.</t>
  </si>
  <si>
    <t xml:space="preserve">726</t>
  </si>
  <si>
    <t xml:space="preserve">1 inch x 25 ft</t>
  </si>
  <si>
    <t xml:space="preserve">Bulk fiberglass rope gasket roll, 1 inch diameter, 25 foot length.</t>
  </si>
  <si>
    <t xml:space="preserve">77</t>
  </si>
  <si>
    <t xml:space="preserve">Stove Gasket Cement</t>
  </si>
  <si>
    <t xml:space="preserve">Rutland black stove gasket cement for securing rope gaskets, 2.3 oz tube.</t>
  </si>
  <si>
    <t xml:space="preserve">82</t>
  </si>
  <si>
    <t xml:space="preserve">Fireplace Glass and Hearth Cleaner</t>
  </si>
  <si>
    <t xml:space="preserve">Ready-to-use fireplace glass and hearth cleaner, 32 oz spray bottle.</t>
  </si>
  <si>
    <t xml:space="preserve">84</t>
  </si>
  <si>
    <t xml:space="preserve">Hearth and Grill Cleaner</t>
  </si>
  <si>
    <t xml:space="preserve">Concentrated hearth and grill cleaner, 8 oz.</t>
  </si>
  <si>
    <t xml:space="preserve">93</t>
  </si>
  <si>
    <t xml:space="preserve">Window Gasket</t>
  </si>
  <si>
    <t xml:space="preserve">11/16" x 54"</t>
  </si>
  <si>
    <t xml:space="preserve">Flat window gasket for stove glass, 11/16 inch by 54 inch strip.</t>
  </si>
  <si>
    <t xml:space="preserve">Gas Accessories</t>
  </si>
  <si>
    <t xml:space="preserve">Skytech</t>
  </si>
  <si>
    <t xml:space="preserve">01-487</t>
  </si>
  <si>
    <t xml:space="preserve">Connector Valve</t>
  </si>
  <si>
    <t xml:space="preserve">1/2 inch</t>
  </si>
  <si>
    <t xml:space="preserve">Skytech 1/2 inch connector valve for gas appliance hookups.</t>
  </si>
  <si>
    <t xml:space="preserve">Remote Controls</t>
  </si>
  <si>
    <t xml:space="preserve">1001</t>
  </si>
  <si>
    <t xml:space="preserve">On/Off Remote Control</t>
  </si>
  <si>
    <t xml:space="preserve">Basic</t>
  </si>
  <si>
    <t xml:space="preserve">Skytech 1001 basic wireless on/off remote control for gas fireplaces.</t>
  </si>
  <si>
    <t xml:space="preserve">1001 T/LCD</t>
  </si>
  <si>
    <t xml:space="preserve">LCD Display</t>
  </si>
  <si>
    <t xml:space="preserve">Skytech 1001 T/LCD wireless on/off remote with LCD display.</t>
  </si>
  <si>
    <t xml:space="preserve">1001TH</t>
  </si>
  <si>
    <t xml:space="preserve">Remote Control with Thermostat</t>
  </si>
  <si>
    <t xml:space="preserve">On/Off Thermostat</t>
  </si>
  <si>
    <t xml:space="preserve">Skytech 1001TH wireless on/off remote with built-in thermostat.</t>
  </si>
  <si>
    <t xml:space="preserve">3301</t>
  </si>
  <si>
    <t xml:space="preserve">Skytech 3301 on/off thermostat remote control for millivolt gas appliances.</t>
  </si>
  <si>
    <t xml:space="preserve">3301 P2</t>
  </si>
  <si>
    <t xml:space="preserve">Programmable Thermostat Remote</t>
  </si>
  <si>
    <t xml:space="preserve">LCD, Programmable</t>
  </si>
  <si>
    <t xml:space="preserve">Skytech 3301 P2 programmable thermostat remote with LCD display.</t>
  </si>
  <si>
    <t xml:space="preserve">50-86</t>
  </si>
  <si>
    <t xml:space="preserve">Elbow Fitting</t>
  </si>
  <si>
    <t xml:space="preserve">1/2" OD Flare x 3/8" FIP</t>
  </si>
  <si>
    <t xml:space="preserve">Brass elbow fitting, 1/2 inch OD flare by 3/8 inch female pipe thread.</t>
  </si>
  <si>
    <t xml:space="preserve">5301P</t>
  </si>
  <si>
    <t xml:space="preserve">SkyTouch Programmable Remote</t>
  </si>
  <si>
    <t xml:space="preserve">Skytech 5301P SkyTouch programmable touchscreen remote control.</t>
  </si>
  <si>
    <t xml:space="preserve">7015</t>
  </si>
  <si>
    <t xml:space="preserve">On/Off Button Remote</t>
  </si>
  <si>
    <t xml:space="preserve">110V</t>
  </si>
  <si>
    <t xml:space="preserve">Skytech 7015 on/off wall button remote, 110V electronic ignition systems.</t>
  </si>
  <si>
    <t xml:space="preserve">Valves &amp; Valve Kits</t>
  </si>
  <si>
    <t xml:space="preserve">AF-LMF-R</t>
  </si>
  <si>
    <t xml:space="preserve">Manual On/Off Valve Kit</t>
  </si>
  <si>
    <t xml:space="preserve">Skytech manual on/off valve kit for gas log sets.</t>
  </si>
  <si>
    <t xml:space="preserve">AFVK-SP</t>
  </si>
  <si>
    <t xml:space="preserve">Electronic Ignition Valve Kit</t>
  </si>
  <si>
    <t xml:space="preserve">On/Off</t>
  </si>
  <si>
    <t xml:space="preserve">Skytech AFVK-SP electronic ignition on/off valve kit for gas log sets.</t>
  </si>
  <si>
    <t xml:space="preserve">AFVK-SP-MH-L</t>
  </si>
  <si>
    <t xml:space="preserve">Electronic Valve</t>
  </si>
  <si>
    <t xml:space="preserve">Skytech AFVK-SP-MH-L electronic valve assembly.</t>
  </si>
  <si>
    <t xml:space="preserve">AFVK-SP-MHLSPLIT</t>
  </si>
  <si>
    <t xml:space="preserve">Spark-to-Pilot Valve Kit</t>
  </si>
  <si>
    <t xml:space="preserve">On/Off Hi/Low</t>
  </si>
  <si>
    <t xml:space="preserve">Skytech spark-to-pilot valve kit with on/off high-low control.</t>
  </si>
  <si>
    <t xml:space="preserve">Fans &amp; Fan Kits</t>
  </si>
  <si>
    <t xml:space="preserve">F-165</t>
  </si>
  <si>
    <t xml:space="preserve">Replacement Fan</t>
  </si>
  <si>
    <t xml:space="preserve">Skytech F-165 replacement fan unit for gas fireplaces.</t>
  </si>
  <si>
    <t xml:space="preserve">F-180-1</t>
  </si>
  <si>
    <t xml:space="preserve">Replacement Barrel Fan</t>
  </si>
  <si>
    <t xml:space="preserve">Skytech F-180-1 replacement barrel fan unit.</t>
  </si>
  <si>
    <t xml:space="preserve">FK-165-ESC</t>
  </si>
  <si>
    <t xml:space="preserve">Fan Kit with ESC Control</t>
  </si>
  <si>
    <t xml:space="preserve">Skytech FK-165 fan kit with electronic speed control.</t>
  </si>
  <si>
    <t xml:space="preserve">FK-165-RT</t>
  </si>
  <si>
    <t xml:space="preserve">Fan Kit with Rheostat</t>
  </si>
  <si>
    <t xml:space="preserve">Skytech FK-165 fan kit with rheostat speed control.</t>
  </si>
  <si>
    <t xml:space="preserve">FK-180-ESC</t>
  </si>
  <si>
    <t xml:space="preserve">Barrel Fan Kit with ESC Control</t>
  </si>
  <si>
    <t xml:space="preserve">Skytech FK-180 barrel fan kit with electronic speed control.</t>
  </si>
  <si>
    <t xml:space="preserve">FK-180-RT</t>
  </si>
  <si>
    <t xml:space="preserve">Barrel Fan Kit with Rheostat</t>
  </si>
  <si>
    <t xml:space="preserve">Skytech FK-180 replacement two-barrel fan kit with rheostat.</t>
  </si>
  <si>
    <t xml:space="preserve">Conversion Kits</t>
  </si>
  <si>
    <t xml:space="preserve">LPK-18</t>
  </si>
  <si>
    <t xml:space="preserve">Liquid Propane Conversion Kit</t>
  </si>
  <si>
    <t xml:space="preserve">Skytech LPK-18 liquid propane conversion kit for 18 inch gas log sets.</t>
  </si>
  <si>
    <t xml:space="preserve">LPK-24</t>
  </si>
  <si>
    <t xml:space="preserve">24 inch</t>
  </si>
  <si>
    <t xml:space="preserve">Skytech LPK-24 liquid propane conversion kit for 24 inch gas log sets.</t>
  </si>
  <si>
    <t xml:space="preserve">RS-2</t>
  </si>
  <si>
    <t xml:space="preserve">Log-Style Receiver Cover</t>
  </si>
  <si>
    <t xml:space="preserve">Skytech RS-2 log-style receiver cover that disguises remote receiver in gas log sets.</t>
  </si>
  <si>
    <t xml:space="preserve">SKY-5001</t>
  </si>
  <si>
    <t xml:space="preserve">SkyTouch On/Off Remote</t>
  </si>
  <si>
    <t xml:space="preserve">Skytech SKY-5001 SkyTouch on/off wireless remote control.</t>
  </si>
  <si>
    <t xml:space="preserve">SKY-5010</t>
  </si>
  <si>
    <t xml:space="preserve">Skytech SKY-5010 SkyTouch on/off remote for 110V electronic ignition.</t>
  </si>
  <si>
    <t xml:space="preserve">SKY-50-86</t>
  </si>
  <si>
    <t xml:space="preserve">1/2" Flare x 3/8" Female</t>
  </si>
  <si>
    <t xml:space="preserve">Brass elbow fitting, 1/2 inch flare by 3/8 inch female pipe thread. Wholesale price listed as $0; verify pricing with supplier.</t>
  </si>
  <si>
    <t xml:space="preserve">SKY-5301</t>
  </si>
  <si>
    <t xml:space="preserve">SkyTouch Thermostat Remote</t>
  </si>
  <si>
    <t xml:space="preserve">Skytech SKY-5301 SkyTouch touchscreen thermostat remote control.</t>
  </si>
  <si>
    <t xml:space="preserve">SKY-5301P</t>
  </si>
  <si>
    <t xml:space="preserve">SkyTouch Programmable Thermostat Remote</t>
  </si>
  <si>
    <t xml:space="preserve">Skytech SKY-5301P SkyTouch programmable thermostat touchscreen remote.</t>
  </si>
  <si>
    <t xml:space="preserve">SKY-5310</t>
  </si>
  <si>
    <t xml:space="preserve">Skytech SKY-5310 SkyTouch thermostat remote for 110V electronic ignition.</t>
  </si>
  <si>
    <t xml:space="preserve">SKY-5310P</t>
  </si>
  <si>
    <t xml:space="preserve">Skytech SKY-5310P SkyTouch programmable thermostat remote for 110V.</t>
  </si>
  <si>
    <t xml:space="preserve">SMART-STAT-IV</t>
  </si>
  <si>
    <t xml:space="preserve">Smart-Stat IV Remote Control</t>
  </si>
  <si>
    <t xml:space="preserve">Skytech Smart-Stat IV remote control with thermostat capability.</t>
  </si>
  <si>
    <t xml:space="preserve">T100-9898-10</t>
  </si>
  <si>
    <t xml:space="preserve">Flex Connector</t>
  </si>
  <si>
    <t xml:space="preserve">3/8" OD x 10"</t>
  </si>
  <si>
    <t xml:space="preserve">Flexible gas connector, 3/8 inch outer diameter, 10 inch length.</t>
  </si>
  <si>
    <t xml:space="preserve">T200-9898-22</t>
  </si>
  <si>
    <t xml:space="preserve">1/2" OD x 22"</t>
  </si>
  <si>
    <t xml:space="preserve">Flexible gas connector, 1/2 inch outer diameter, 22 inch length.</t>
  </si>
  <si>
    <t xml:space="preserve">T200-9898-46</t>
  </si>
  <si>
    <t xml:space="preserve">1/2" OD x 46"</t>
  </si>
  <si>
    <t xml:space="preserve">Flexible gas connector, 1/2 inch outer diameter, 46 inch length.</t>
  </si>
  <si>
    <t xml:space="preserve">TS/R-2A</t>
  </si>
  <si>
    <t xml:space="preserve">Wireless Thermostat</t>
  </si>
  <si>
    <t xml:space="preserve">Skytech TS/R-2A wireless thermostat receiver and transmitter set.</t>
  </si>
  <si>
    <t xml:space="preserve">TS-3</t>
  </si>
  <si>
    <t xml:space="preserve">Wall-Mount Wired Thermostat</t>
  </si>
  <si>
    <t xml:space="preserve">Skytech TS-3 wall-mount wired thermostat for millivolt gas appliances.</t>
  </si>
  <si>
    <t xml:space="preserve">U1-8C-S</t>
  </si>
  <si>
    <t xml:space="preserve">1/2" OD Flare x 3/8" MIP</t>
  </si>
  <si>
    <t xml:space="preserve">Brass elbow fitting, 1/2 inch OD flare by 3/8 inch male pipe thread.</t>
  </si>
  <si>
    <t xml:space="preserve">Speedy White</t>
  </si>
  <si>
    <t xml:space="preserve">SPEEDY WHITE</t>
  </si>
  <si>
    <t xml:space="preserve">Hearth and Stove Cleaner</t>
  </si>
  <si>
    <t xml:space="preserve">22 oz</t>
  </si>
  <si>
    <t xml:space="preserve">Speedy White non-abrasive hearth, stove, and glass cleaner, 22 oz bottle.</t>
  </si>
  <si>
    <t xml:space="preserve">Stove Bright</t>
  </si>
  <si>
    <t xml:space="preserve">03M003B16</t>
  </si>
  <si>
    <t xml:space="preserve">Stove Bright spray cleaner for wood stove glass, 16 oz.</t>
  </si>
  <si>
    <t xml:space="preserve">03M075B16</t>
  </si>
  <si>
    <t xml:space="preserve">Fireplace Masonry and Gas Log Cleaner</t>
  </si>
  <si>
    <t xml:space="preserve">Stove Bright cleaner formulated for fireplace masonry and gas log surfaces, 16 oz.</t>
  </si>
  <si>
    <t xml:space="preserve">03M101B4</t>
  </si>
  <si>
    <t xml:space="preserve">Gas Glass Cleaner</t>
  </si>
  <si>
    <t xml:space="preserve">4 oz</t>
  </si>
  <si>
    <t xml:space="preserve">Stove Bright cleaner for gas fireplace glass, 4 oz.</t>
  </si>
  <si>
    <t xml:space="preserve">03M101B8</t>
  </si>
  <si>
    <t xml:space="preserve">Stove Bright cleaner for gas fireplace glass, 8 oz.</t>
  </si>
  <si>
    <t xml:space="preserve">81Y001B16</t>
  </si>
  <si>
    <t xml:space="preserve">Stainless Steel Cleaner</t>
  </si>
  <si>
    <t xml:space="preserve">Stove Bright stainless steel cleaner and polish, 16 oz.</t>
  </si>
  <si>
    <t xml:space="preserve">13M050C10SS</t>
  </si>
  <si>
    <t xml:space="preserve">RTV Silicone Cartridge</t>
  </si>
  <si>
    <t xml:space="preserve">Clear, 10.1 oz</t>
  </si>
  <si>
    <t xml:space="preserve">Stove Bright high-temperature RTV silicone sealant, 10.1 oz caulk cartridge, clear.</t>
  </si>
  <si>
    <t xml:space="preserve">13M230</t>
  </si>
  <si>
    <t xml:space="preserve">Direct Vent Sealant</t>
  </si>
  <si>
    <t xml:space="preserve">Stove Bright direct vent sealant for gas appliance venting.</t>
  </si>
  <si>
    <t xml:space="preserve">13M250C10SS</t>
  </si>
  <si>
    <t xml:space="preserve">Black, 10.1 oz</t>
  </si>
  <si>
    <t xml:space="preserve">Stove Bright high-temperature RTV silicone sealant, 10.1 oz caulk cartridge, black.</t>
  </si>
  <si>
    <t xml:space="preserve">13M350C10SS</t>
  </si>
  <si>
    <t xml:space="preserve">Red, 10.1 oz</t>
  </si>
  <si>
    <t xml:space="preserve">Stove Bright high-temperature RTV silicone sealant, 10.1 oz caulk cartridge, red.</t>
  </si>
  <si>
    <t xml:space="preserve">Paint Prep</t>
  </si>
  <si>
    <t xml:space="preserve">1A80Y010</t>
  </si>
  <si>
    <t xml:space="preserve">Paint Prep Cleaner</t>
  </si>
  <si>
    <t xml:space="preserve">12 oz Aerosol</t>
  </si>
  <si>
    <t xml:space="preserve">Stove Bright paint prep surface cleaner used before painting stove or pipe, 12 oz aerosol.</t>
  </si>
  <si>
    <t xml:space="preserve">Aerosol Paint</t>
  </si>
  <si>
    <t xml:space="preserve">1990 1A62H290</t>
  </si>
  <si>
    <t xml:space="preserve">Hi-Temp Aerosol Paint 1200F</t>
  </si>
  <si>
    <t xml:space="preserve">Satin Black</t>
  </si>
  <si>
    <t xml:space="preserve">Stove Bright silicone-based 1200F aerosol paint for wood, gas, and pellet stoves, satin black, 12 oz.</t>
  </si>
  <si>
    <t xml:space="preserve">1A259H210</t>
  </si>
  <si>
    <t xml:space="preserve">Shadow Flake</t>
  </si>
  <si>
    <t xml:space="preserve">Stove Bright silicone-based 1200F aerosol paint, shadow flake, 12 oz.</t>
  </si>
  <si>
    <t xml:space="preserve">1A262H209</t>
  </si>
  <si>
    <t xml:space="preserve">Aerosol Acetone Metallic Black Paint</t>
  </si>
  <si>
    <t xml:space="preserve">Metallic Black</t>
  </si>
  <si>
    <t xml:space="preserve">Stove Bright acetone-based metallic black aerosol paint, 12 oz.</t>
  </si>
  <si>
    <t xml:space="preserve">1A262H227</t>
  </si>
  <si>
    <t xml:space="preserve">Firebox Paint Aerosol</t>
  </si>
  <si>
    <t xml:space="preserve">Flat Black Firebox</t>
  </si>
  <si>
    <t xml:space="preserve">Stove Bright firebox paint for fireplace interior surfaces, 12 oz aerosol.</t>
  </si>
  <si>
    <t xml:space="preserve">1A53H001</t>
  </si>
  <si>
    <t xml:space="preserve">Medium-Temp Clear Aerosol</t>
  </si>
  <si>
    <t xml:space="preserve">Clear</t>
  </si>
  <si>
    <t xml:space="preserve">Stove Bright medium-temperature clear protective aerosol coating, 12 oz.</t>
  </si>
  <si>
    <t xml:space="preserve">1A54H080</t>
  </si>
  <si>
    <t xml:space="preserve">New Bronze</t>
  </si>
  <si>
    <t xml:space="preserve">Stove Bright silicone-based 1200F aerosol paint, new bronze, 12 oz.</t>
  </si>
  <si>
    <t xml:space="preserve">1A54H204</t>
  </si>
  <si>
    <t xml:space="preserve">BBQ Aerosol Paint</t>
  </si>
  <si>
    <t xml:space="preserve">Semi-Gloss Black</t>
  </si>
  <si>
    <t xml:space="preserve">Stove Bright BBQ-grade semi-gloss black aerosol paint, 12 oz.</t>
  </si>
  <si>
    <t xml:space="preserve">1A54H222</t>
  </si>
  <si>
    <t xml:space="preserve">DuraVent Pipe Paint Aerosol</t>
  </si>
  <si>
    <t xml:space="preserve">Stove Bright DuraVent-matched stovepipe black aerosol paint, 12 oz.</t>
  </si>
  <si>
    <t xml:space="preserve">1A54H226</t>
  </si>
  <si>
    <t xml:space="preserve">Graphite</t>
  </si>
  <si>
    <t xml:space="preserve">Stove Bright silicone-based 1200F aerosol paint, graphite, 12 oz.</t>
  </si>
  <si>
    <t xml:space="preserve">1A54HR00111</t>
  </si>
  <si>
    <t xml:space="preserve">Brushed Bronze</t>
  </si>
  <si>
    <t xml:space="preserve">Stove Bright silicone-based 1200F aerosol paint, brushed bronze, 12 oz.</t>
  </si>
  <si>
    <t xml:space="preserve">6146 1A52H802A1</t>
  </si>
  <si>
    <t xml:space="preserve">Leather Brown</t>
  </si>
  <si>
    <t xml:space="preserve">Stove Bright silicone-based 1200F aerosol paint, leather brown, 12 oz.</t>
  </si>
  <si>
    <t xml:space="preserve">6159 1A62H059</t>
  </si>
  <si>
    <t xml:space="preserve">Metallic Brown</t>
  </si>
  <si>
    <t xml:space="preserve">Stove Bright silicone-based 1200F aerosol paint, metallic brown, 12 oz.</t>
  </si>
  <si>
    <t xml:space="preserve">6192 1A52H055</t>
  </si>
  <si>
    <t xml:space="preserve">Russett</t>
  </si>
  <si>
    <t xml:space="preserve">Stove Bright silicone-based 1200F aerosol paint, russett, 12 oz.</t>
  </si>
  <si>
    <t xml:space="preserve">6193 1A60H993</t>
  </si>
  <si>
    <t xml:space="preserve">Metallic Gray</t>
  </si>
  <si>
    <t xml:space="preserve">Stove Bright silicone-based 1200F aerosol paint, metallic gray, 12 oz.</t>
  </si>
  <si>
    <t xml:space="preserve">6194 1A52H494</t>
  </si>
  <si>
    <t xml:space="preserve">New Sky Blue</t>
  </si>
  <si>
    <t xml:space="preserve">Stove Bright silicone-based 1200F aerosol paint, new sky blue, 12 oz.</t>
  </si>
  <si>
    <t xml:space="preserve">6195 1A60H895</t>
  </si>
  <si>
    <t xml:space="preserve">Metallic Mahogany</t>
  </si>
  <si>
    <t xml:space="preserve">Stove Bright silicone-based 1200F aerosol paint, metallic mahogany, 12 oz.</t>
  </si>
  <si>
    <t xml:space="preserve">6196 1A52H450</t>
  </si>
  <si>
    <t xml:space="preserve">Metallic Blue</t>
  </si>
  <si>
    <t xml:space="preserve">Stove Bright silicone-based 1200F aerosol paint, metallic blue, 12 oz.</t>
  </si>
  <si>
    <t xml:space="preserve">6197 1A52H060</t>
  </si>
  <si>
    <t xml:space="preserve">Moss Green</t>
  </si>
  <si>
    <t xml:space="preserve">Stove Bright silicone-based 1200F aerosol paint, moss green, 12 oz.</t>
  </si>
  <si>
    <t xml:space="preserve">6198 1A52H700</t>
  </si>
  <si>
    <t xml:space="preserve">Forest Green</t>
  </si>
  <si>
    <t xml:space="preserve">Stove Bright silicone-based 1200F aerosol paint, forest green, 12 oz.</t>
  </si>
  <si>
    <t xml:space="preserve">6199 1A60H300</t>
  </si>
  <si>
    <t xml:space="preserve">Redwood</t>
  </si>
  <si>
    <t xml:space="preserve">Stove Bright silicone-based 1200F aerosol paint, redwood, 12 oz.</t>
  </si>
  <si>
    <t xml:space="preserve">6201 1A62H201</t>
  </si>
  <si>
    <t xml:space="preserve">Charcoal</t>
  </si>
  <si>
    <t xml:space="preserve">Stove Bright silicone-based 1200F aerosol paint, charcoal, 12 oz.</t>
  </si>
  <si>
    <t xml:space="preserve">6223 1A52H063</t>
  </si>
  <si>
    <t xml:space="preserve">Emerald Green</t>
  </si>
  <si>
    <t xml:space="preserve">Stove Bright silicone-based 1200F aerosol paint, emerald green, 12 oz.</t>
  </si>
  <si>
    <t xml:space="preserve">6224 1A62H064</t>
  </si>
  <si>
    <t xml:space="preserve">Adobe Tan</t>
  </si>
  <si>
    <t xml:space="preserve">Stove Bright silicone-based 1200F aerosol paint, adobe tan, 12 oz.</t>
  </si>
  <si>
    <t xml:space="preserve">6230 1A62H830</t>
  </si>
  <si>
    <t xml:space="preserve">Goldenfire Brown</t>
  </si>
  <si>
    <t xml:space="preserve">Stove Bright silicone-based 1200F aerosol paint, goldenfire brown, 12 oz.</t>
  </si>
  <si>
    <t xml:space="preserve">6265 1A51H030</t>
  </si>
  <si>
    <t xml:space="preserve">Silver</t>
  </si>
  <si>
    <t xml:space="preserve">Stove Bright silicone-based 1200F aerosol paint, silver, 12 oz.</t>
  </si>
  <si>
    <t xml:space="preserve">6283 1A53H500</t>
  </si>
  <si>
    <t xml:space="preserve">Almond</t>
  </si>
  <si>
    <t xml:space="preserve">Stove Bright silicone-based 1200F aerosol paint, almond, 12 oz.</t>
  </si>
  <si>
    <t xml:space="preserve">6298 1A62H898</t>
  </si>
  <si>
    <t xml:space="preserve">Rich Brown</t>
  </si>
  <si>
    <t xml:space="preserve">Stove Bright silicone-based 1200F aerosol paint, rich brown, 12 oz.</t>
  </si>
  <si>
    <t xml:space="preserve">6302 1A52H068</t>
  </si>
  <si>
    <t xml:space="preserve">Gold</t>
  </si>
  <si>
    <t xml:space="preserve">Stove Bright silicone-based 1200F aerosol paint, gold, 12 oz.</t>
  </si>
  <si>
    <t xml:space="preserve">6304 1A51H200</t>
  </si>
  <si>
    <t xml:space="preserve">Flat Black</t>
  </si>
  <si>
    <t xml:space="preserve">Stove Bright silicone-based 1200F aerosol paint, flat black, 12 oz.</t>
  </si>
  <si>
    <t xml:space="preserve">6306 1A54H050</t>
  </si>
  <si>
    <t xml:space="preserve">Hi-Temp Aerosol Primer</t>
  </si>
  <si>
    <t xml:space="preserve">Primer</t>
  </si>
  <si>
    <t xml:space="preserve">Stove Bright silicone-based 1200F aerosol primer, 12 oz.</t>
  </si>
  <si>
    <t xml:space="preserve">6307 1A53H800</t>
  </si>
  <si>
    <t xml:space="preserve">Sand</t>
  </si>
  <si>
    <t xml:space="preserve">Stove Bright silicone-based 1200F aerosol paint, sand, 12 oz.</t>
  </si>
  <si>
    <t xml:space="preserve">6309 1A62H209</t>
  </si>
  <si>
    <t xml:space="preserve">Stove Bright silicone-based 1200F aerosol paint, metallic black, 12 oz.</t>
  </si>
  <si>
    <t xml:space="preserve">6310 1A52H804</t>
  </si>
  <si>
    <t xml:space="preserve">Bark Brown</t>
  </si>
  <si>
    <t xml:space="preserve">Stove Bright silicone-based 1200F aerosol paint, bark brown, 12 oz.</t>
  </si>
  <si>
    <t xml:space="preserve">6311 1A62H085</t>
  </si>
  <si>
    <t xml:space="preserve">Honey Glo Brown</t>
  </si>
  <si>
    <t xml:space="preserve">Stove Bright silicone-based 1200F aerosol paint, honey glo brown, 12 oz.</t>
  </si>
  <si>
    <t xml:space="preserve">6313 1A52H083</t>
  </si>
  <si>
    <t xml:space="preserve">Mauve</t>
  </si>
  <si>
    <t xml:space="preserve">Stove Bright silicone-based 1200F aerosol paint, mauve, 12 oz.</t>
  </si>
  <si>
    <t xml:space="preserve">6318 1A62H400</t>
  </si>
  <si>
    <t xml:space="preserve">Patriot Blue</t>
  </si>
  <si>
    <t xml:space="preserve">Stove Bright silicone-based 1200F aerosol paint, patriot blue, 12 oz.</t>
  </si>
  <si>
    <t xml:space="preserve">6319 1A60H350</t>
  </si>
  <si>
    <t xml:space="preserve">Mojave Red</t>
  </si>
  <si>
    <t xml:space="preserve">Stove Bright silicone-based 1200F aerosol paint, mojave red, 12 oz.</t>
  </si>
  <si>
    <t xml:space="preserve">6320 1A52H050</t>
  </si>
  <si>
    <t xml:space="preserve">Copper</t>
  </si>
  <si>
    <t xml:space="preserve">Stove Bright silicone-based 1200F aerosol paint, copper, 12 oz.</t>
  </si>
  <si>
    <t xml:space="preserve">6321 1A53H031</t>
  </si>
  <si>
    <t xml:space="preserve">Pewter</t>
  </si>
  <si>
    <t xml:space="preserve">Stove Bright silicone-based 1200F aerosol paint, pewter, 12 oz.</t>
  </si>
  <si>
    <t xml:space="preserve">6324 1A62H051</t>
  </si>
  <si>
    <t xml:space="preserve">Sunset</t>
  </si>
  <si>
    <t xml:space="preserve">Stove Bright silicone-based 1200F aerosol paint, sunset, 12 oz.</t>
  </si>
  <si>
    <t xml:space="preserve">6325 1A62H081</t>
  </si>
  <si>
    <t xml:space="preserve">Surf Sand</t>
  </si>
  <si>
    <t xml:space="preserve">Stove Bright silicone-based 1200F aerosol paint, surf sand, 12 oz.</t>
  </si>
  <si>
    <t xml:space="preserve">6327 1A53H071</t>
  </si>
  <si>
    <t xml:space="preserve">Green Illusion</t>
  </si>
  <si>
    <t xml:space="preserve">Stove Bright silicone-based 1200F aerosol paint, green illusion, 12 oz.</t>
  </si>
  <si>
    <t xml:space="preserve">6329 1A52H082</t>
  </si>
  <si>
    <t xml:space="preserve">Shimmering Rose</t>
  </si>
  <si>
    <t xml:space="preserve">Stove Bright silicone-based 1200F aerosol paint, shimmering rose, 12 oz.</t>
  </si>
  <si>
    <t xml:space="preserve">6332 1A54HO80</t>
  </si>
  <si>
    <t xml:space="preserve">New Bronze (alt)</t>
  </si>
  <si>
    <t xml:space="preserve">Stove Bright silicone-based 1200F aerosol paint, new bronze (alternate SKU code), 12 oz.</t>
  </si>
  <si>
    <t xml:space="preserve">Brush-On Paint</t>
  </si>
  <si>
    <t xml:space="preserve">62M290 PINT</t>
  </si>
  <si>
    <t xml:space="preserve">Brush-On Hi-Temp Paint 1200F</t>
  </si>
  <si>
    <t xml:space="preserve">Satin Black, Pint</t>
  </si>
  <si>
    <t xml:space="preserve">Stove Bright brush-on 1200F high-temp paint, satin black, pint can.</t>
  </si>
  <si>
    <t xml:space="preserve">62M290 QUART</t>
  </si>
  <si>
    <t xml:space="preserve">Satin Black, Quart</t>
  </si>
  <si>
    <t xml:space="preserve">Stove Bright brush-on 1200F high-temp paint, satin black, quart can.</t>
  </si>
  <si>
    <t xml:space="preserve">62M059 PINT</t>
  </si>
  <si>
    <t xml:space="preserve">Metallic Brown, Pint</t>
  </si>
  <si>
    <t xml:space="preserve">Stove Bright brush-on 1200F high-temp paint, metallic brown, pint can.</t>
  </si>
  <si>
    <t xml:space="preserve">62M059 QUART</t>
  </si>
  <si>
    <t xml:space="preserve">Metallic Brown, Quart</t>
  </si>
  <si>
    <t xml:space="preserve">Stove Bright brush-on 1200F high-temp paint, metallic brown, quart can.</t>
  </si>
  <si>
    <t xml:space="preserve">62M201 PINT</t>
  </si>
  <si>
    <t xml:space="preserve">Charcoal, Pint</t>
  </si>
  <si>
    <t xml:space="preserve">Stove Bright brush-on 1200F high-temp paint, charcoal, pint can.</t>
  </si>
  <si>
    <t xml:space="preserve">62M201 QUART</t>
  </si>
  <si>
    <t xml:space="preserve">Charcoal, Quart</t>
  </si>
  <si>
    <t xml:space="preserve">Stove Bright brush-on 1200F high-temp paint, charcoal, quart can.</t>
  </si>
  <si>
    <t xml:space="preserve">62M209 PINT</t>
  </si>
  <si>
    <t xml:space="preserve">Metallic Black, Pint</t>
  </si>
  <si>
    <t xml:space="preserve">Stove Bright brush-on 1200F high-temp paint, metallic black, pint can.</t>
  </si>
  <si>
    <t xml:space="preserve">62M209 QUART</t>
  </si>
  <si>
    <t xml:space="preserve">Metallic Black, Quart</t>
  </si>
  <si>
    <t xml:space="preserve">Stove Bright brush-on 1200F high-temp paint, metallic black, quart can.</t>
  </si>
  <si>
    <t xml:space="preserve">62M830 PINT</t>
  </si>
  <si>
    <t xml:space="preserve">Goldenfire Brown, Pint</t>
  </si>
  <si>
    <t xml:space="preserve">Stove Bright brush-on 1200F high-temp paint, goldenfire brown, pint can.</t>
  </si>
  <si>
    <t xml:space="preserve">62M830 QUART</t>
  </si>
  <si>
    <t xml:space="preserve">Goldenfire Brown, Quart</t>
  </si>
  <si>
    <t xml:space="preserve">Stove Bright brush-on 1200F high-temp paint, goldenfire brown, quart can.</t>
  </si>
  <si>
    <t xml:space="preserve">Roof Flashing Paint</t>
  </si>
  <si>
    <t xml:space="preserve">1A464E204</t>
  </si>
  <si>
    <t xml:space="preserve">Roof Flashing Aerosol Paint</t>
  </si>
  <si>
    <t xml:space="preserve">Teak</t>
  </si>
  <si>
    <t xml:space="preserve">Stove Bright aerosol paint designed for chimney roof flashing, teak, 12 oz.</t>
  </si>
  <si>
    <t xml:space="preserve">1A464E206</t>
  </si>
  <si>
    <t xml:space="preserve">Stove Bright aerosol paint designed for chimney roof flashing, charcoal, 12 oz.</t>
  </si>
  <si>
    <t xml:space="preserve">1A464E305</t>
  </si>
  <si>
    <t xml:space="preserve">Terra Cotta</t>
  </si>
  <si>
    <t xml:space="preserve">Stove Bright aerosol paint designed for chimney roof flashing, terra cotta, 12 oz.</t>
  </si>
  <si>
    <t xml:space="preserve">1A464E720</t>
  </si>
  <si>
    <t xml:space="preserve">Sea Green</t>
  </si>
  <si>
    <t xml:space="preserve">Stove Bright aerosol paint designed for chimney roof flashing, sea green, 12 oz.</t>
  </si>
  <si>
    <t xml:space="preserve">1A464E810</t>
  </si>
  <si>
    <t xml:space="preserve">Driftwood</t>
  </si>
  <si>
    <t xml:space="preserve">Stove Bright aerosol paint designed for chimney roof flashing, driftwood, 12 oz.</t>
  </si>
  <si>
    <t xml:space="preserve">1A464E811</t>
  </si>
  <si>
    <t xml:space="preserve">Coffee Brown</t>
  </si>
  <si>
    <t xml:space="preserve">Stove Bright aerosol paint designed for chimney roof flashing, coffee brown, 12 oz.</t>
  </si>
  <si>
    <t xml:space="preserve">80M400B32</t>
  </si>
  <si>
    <t xml:space="preserve">Stove Bright gelled firestarter, 32 oz bottle.</t>
  </si>
  <si>
    <t xml:space="preserve">80M400B16</t>
  </si>
  <si>
    <t xml:space="preserve">Stove Bright gelled firestarter, 16 oz bottle.</t>
  </si>
  <si>
    <t xml:space="preserve">2TSBTHERM</t>
  </si>
  <si>
    <t xml:space="preserve">Stovepipe Thermometer</t>
  </si>
  <si>
    <t xml:space="preserve">Stove Bright magnetic stovepipe thermometer showing safe burn range.</t>
  </si>
  <si>
    <t xml:space="preserve">Hibernation Retail Pricing Formula</t>
  </si>
  <si>
    <t xml:space="preserve">Goal</t>
  </si>
  <si>
    <t xml:space="preserve">2x markup on product, shipping covered approximately at cost</t>
  </si>
  <si>
    <t xml:space="preserve">Light items (8% shipping)</t>
  </si>
  <si>
    <t xml:space="preserve">Small aerosols, small tubes, cleaners, remote controls, thermometers, single shovels, fittings, etc.</t>
  </si>
  <si>
    <t xml:space="preserve">Heavy items (16% shipping)</t>
  </si>
  <si>
    <t xml:space="preserve">Fatwood, hearth rugs, ash buckets, coal hods, fireplace grates, log racks, gasket rolls, quart/pint paints, kettles, valve kits, large fan kits, mantel/pipe deflectors, etc.</t>
  </si>
  <si>
    <t xml:space="preserve">Light formula</t>
  </si>
  <si>
    <t xml:space="preserve">Retail = Wholesale x 2.08</t>
  </si>
  <si>
    <t xml:space="preserve">Heavy formula</t>
  </si>
  <si>
    <t xml:space="preserve">Retail = Wholesale x 2.16</t>
  </si>
  <si>
    <t xml:space="preserve">Sales tax</t>
  </si>
  <si>
    <t xml:space="preserve">7.25% CA sales tax added on top of retail at checkout (pass-through to CDTFA)</t>
  </si>
  <si>
    <t xml:space="preserve">Shipping cost baseline</t>
  </si>
  <si>
    <t xml:space="preserve">15.3% dollar-weighted average across 4 recent Total Fireplace invoices (2492, 2571, 2575, 2611)</t>
  </si>
  <si>
    <t xml:space="preserve">Note on heavy tier</t>
  </si>
  <si>
    <t xml:space="preserve">Heavy tier under-recovers on pure-heavy orders (see Invoice 2492 at 32.7% freight). Jeremy accepts this; plan is to push pallet orders for volume freight discounts when practical.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</si>
</sst>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%"/>
    <numFmt numFmtId="167" formatCode="\$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22"/>
    <col collapsed="false" customWidth="true" hidden="false" outlineLevel="0" max="4" min="4" style="1" width="36"/>
    <col collapsed="false" customWidth="true" hidden="false" outlineLevel="0" max="5" min="5" style="1" width="32"/>
    <col collapsed="false" customWidth="true" hidden="false" outlineLevel="0" max="6" min="6" style="1" width="60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10"/>
    <col collapsed="false" customWidth="true" hidden="false" outlineLevel="0" max="10" min="10" style="1" width="1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23.25" hidden="false" customHeight="true" outlineLevel="0" collapsed="false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 t="n">
        <v>23.29</v>
      </c>
      <c r="H2" s="5" t="s">
        <v>16</v>
      </c>
      <c r="I2" s="6" t="n">
        <f aca="false">IF(H2="Heavy",0.16,0.08)</f>
        <v>0.16</v>
      </c>
      <c r="J2" s="7" t="n">
        <f aca="false">ROUND(G2*(2+I2),0)</f>
        <v>50</v>
      </c>
    </row>
    <row r="3" customFormat="false" ht="23.25" hidden="false" customHeight="tru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/>
      <c r="F3" s="3" t="s">
        <v>21</v>
      </c>
      <c r="G3" s="4" t="n">
        <v>9.67</v>
      </c>
      <c r="H3" s="3" t="s">
        <v>22</v>
      </c>
      <c r="I3" s="6" t="n">
        <f aca="false">IF(H3="Heavy",0.16,0.08)</f>
        <v>0.08</v>
      </c>
      <c r="J3" s="7" t="n">
        <f aca="false">ROUND(G3*(2+I3),0)</f>
        <v>20</v>
      </c>
    </row>
    <row r="4" customFormat="false" ht="23.25" hidden="false" customHeight="true" outlineLevel="0" collapsed="false">
      <c r="A4" s="3" t="s">
        <v>23</v>
      </c>
      <c r="B4" s="3" t="s">
        <v>18</v>
      </c>
      <c r="C4" s="3" t="s">
        <v>24</v>
      </c>
      <c r="D4" s="3" t="s">
        <v>25</v>
      </c>
      <c r="E4" s="3" t="s">
        <v>26</v>
      </c>
      <c r="F4" s="3" t="s">
        <v>27</v>
      </c>
      <c r="G4" s="4" t="n">
        <v>130</v>
      </c>
      <c r="H4" s="5" t="s">
        <v>16</v>
      </c>
      <c r="I4" s="6" t="n">
        <f aca="false">IF(H4="Heavy",0.16,0.08)</f>
        <v>0.16</v>
      </c>
      <c r="J4" s="7" t="n">
        <f aca="false">ROUND(G4*(2+I4),0)</f>
        <v>281</v>
      </c>
    </row>
    <row r="5" customFormat="false" ht="23.25" hidden="false" customHeight="true" outlineLevel="0" collapsed="false">
      <c r="A5" s="3" t="s">
        <v>23</v>
      </c>
      <c r="B5" s="3" t="s">
        <v>18</v>
      </c>
      <c r="C5" s="3" t="s">
        <v>28</v>
      </c>
      <c r="D5" s="3" t="s">
        <v>25</v>
      </c>
      <c r="E5" s="3" t="s">
        <v>29</v>
      </c>
      <c r="F5" s="3" t="s">
        <v>30</v>
      </c>
      <c r="G5" s="4" t="n">
        <v>152.23</v>
      </c>
      <c r="H5" s="5" t="s">
        <v>16</v>
      </c>
      <c r="I5" s="6" t="n">
        <f aca="false">IF(H5="Heavy",0.16,0.08)</f>
        <v>0.16</v>
      </c>
      <c r="J5" s="7" t="n">
        <f aca="false">ROUND(G5*(2+I5),0)</f>
        <v>329</v>
      </c>
    </row>
    <row r="6" customFormat="false" ht="15" hidden="false" customHeight="true" outlineLevel="0" collapsed="false">
      <c r="A6" s="3" t="s">
        <v>31</v>
      </c>
      <c r="B6" s="3" t="s">
        <v>18</v>
      </c>
      <c r="C6" s="3" t="s">
        <v>32</v>
      </c>
      <c r="D6" s="3" t="s">
        <v>33</v>
      </c>
      <c r="E6" s="3" t="s">
        <v>34</v>
      </c>
      <c r="F6" s="3" t="s">
        <v>35</v>
      </c>
      <c r="G6" s="4" t="n">
        <v>35.63</v>
      </c>
      <c r="H6" s="5" t="s">
        <v>16</v>
      </c>
      <c r="I6" s="6" t="n">
        <f aca="false">IF(H6="Heavy",0.16,0.08)</f>
        <v>0.16</v>
      </c>
      <c r="J6" s="7" t="n">
        <f aca="false">ROUND(G6*(2+I6),0)</f>
        <v>77</v>
      </c>
    </row>
    <row r="7" customFormat="false" ht="15" hidden="false" customHeight="true" outlineLevel="0" collapsed="false">
      <c r="A7" s="3" t="s">
        <v>31</v>
      </c>
      <c r="B7" s="3" t="s">
        <v>18</v>
      </c>
      <c r="C7" s="3" t="s">
        <v>36</v>
      </c>
      <c r="D7" s="3" t="s">
        <v>37</v>
      </c>
      <c r="E7" s="3" t="s">
        <v>38</v>
      </c>
      <c r="F7" s="3" t="s">
        <v>39</v>
      </c>
      <c r="G7" s="4" t="n">
        <v>24.69</v>
      </c>
      <c r="H7" s="3" t="s">
        <v>22</v>
      </c>
      <c r="I7" s="6" t="n">
        <f aca="false">IF(H7="Heavy",0.16,0.08)</f>
        <v>0.08</v>
      </c>
      <c r="J7" s="7" t="n">
        <f aca="false">ROUND(G7*(2+I7),0)</f>
        <v>51</v>
      </c>
    </row>
    <row r="8" customFormat="false" ht="15" hidden="false" customHeight="true" outlineLevel="0" collapsed="false">
      <c r="A8" s="3" t="s">
        <v>31</v>
      </c>
      <c r="B8" s="3" t="s">
        <v>18</v>
      </c>
      <c r="C8" s="3" t="s">
        <v>40</v>
      </c>
      <c r="D8" s="3" t="s">
        <v>41</v>
      </c>
      <c r="E8" s="3" t="s">
        <v>42</v>
      </c>
      <c r="F8" s="3" t="s">
        <v>43</v>
      </c>
      <c r="G8" s="4" t="n">
        <v>42.75</v>
      </c>
      <c r="H8" s="5" t="s">
        <v>16</v>
      </c>
      <c r="I8" s="6" t="n">
        <f aca="false">IF(H8="Heavy",0.16,0.08)</f>
        <v>0.16</v>
      </c>
      <c r="J8" s="7" t="n">
        <f aca="false">ROUND(G8*(2+I8),0)</f>
        <v>92</v>
      </c>
    </row>
    <row r="9" customFormat="false" ht="23.25" hidden="false" customHeight="true" outlineLevel="0" collapsed="false">
      <c r="A9" s="3" t="s">
        <v>17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48</v>
      </c>
      <c r="G9" s="4" t="n">
        <v>86.25</v>
      </c>
      <c r="H9" s="5" t="s">
        <v>16</v>
      </c>
      <c r="I9" s="6" t="n">
        <f aca="false">IF(H9="Heavy",0.16,0.08)</f>
        <v>0.16</v>
      </c>
      <c r="J9" s="7" t="n">
        <f aca="false">ROUND(G9*(2+I9),0)</f>
        <v>186</v>
      </c>
    </row>
    <row r="10" customFormat="false" ht="23.25" hidden="false" customHeight="true" outlineLevel="0" collapsed="false">
      <c r="A10" s="3" t="s">
        <v>17</v>
      </c>
      <c r="B10" s="3" t="s">
        <v>44</v>
      </c>
      <c r="C10" s="3" t="s">
        <v>49</v>
      </c>
      <c r="D10" s="3" t="s">
        <v>50</v>
      </c>
      <c r="E10" s="3" t="s">
        <v>47</v>
      </c>
      <c r="F10" s="3" t="s">
        <v>51</v>
      </c>
      <c r="G10" s="4" t="n">
        <v>36.42</v>
      </c>
      <c r="H10" s="5" t="s">
        <v>16</v>
      </c>
      <c r="I10" s="6" t="n">
        <f aca="false">IF(H10="Heavy",0.16,0.08)</f>
        <v>0.16</v>
      </c>
      <c r="J10" s="7" t="n">
        <f aca="false">ROUND(G10*(2+I10),0)</f>
        <v>79</v>
      </c>
    </row>
    <row r="11" customFormat="false" ht="15" hidden="false" customHeight="true" outlineLevel="0" collapsed="false">
      <c r="A11" s="3" t="s">
        <v>17</v>
      </c>
      <c r="B11" s="3" t="s">
        <v>44</v>
      </c>
      <c r="C11" s="3" t="s">
        <v>52</v>
      </c>
      <c r="D11" s="3" t="s">
        <v>53</v>
      </c>
      <c r="E11" s="3" t="s">
        <v>47</v>
      </c>
      <c r="F11" s="3" t="s">
        <v>54</v>
      </c>
      <c r="G11" s="4" t="n">
        <v>6.98</v>
      </c>
      <c r="H11" s="3" t="s">
        <v>22</v>
      </c>
      <c r="I11" s="6" t="n">
        <f aca="false">IF(H11="Heavy",0.16,0.08)</f>
        <v>0.08</v>
      </c>
      <c r="J11" s="7" t="n">
        <f aca="false">ROUND(G11*(2+I11),0)</f>
        <v>15</v>
      </c>
    </row>
    <row r="12" customFormat="false" ht="15" hidden="false" customHeight="true" outlineLevel="0" collapsed="false">
      <c r="A12" s="3" t="s">
        <v>17</v>
      </c>
      <c r="B12" s="3" t="s">
        <v>44</v>
      </c>
      <c r="C12" s="3" t="s">
        <v>55</v>
      </c>
      <c r="D12" s="3" t="s">
        <v>56</v>
      </c>
      <c r="E12" s="3" t="s">
        <v>47</v>
      </c>
      <c r="F12" s="3" t="s">
        <v>57</v>
      </c>
      <c r="G12" s="4" t="n">
        <v>39.35</v>
      </c>
      <c r="H12" s="5" t="s">
        <v>16</v>
      </c>
      <c r="I12" s="6" t="n">
        <f aca="false">IF(H12="Heavy",0.16,0.08)</f>
        <v>0.16</v>
      </c>
      <c r="J12" s="7" t="n">
        <f aca="false">ROUND(G12*(2+I12),0)</f>
        <v>85</v>
      </c>
    </row>
    <row r="13" customFormat="false" ht="23.25" hidden="false" customHeight="true" outlineLevel="0" collapsed="false">
      <c r="A13" s="3" t="s">
        <v>17</v>
      </c>
      <c r="B13" s="3" t="s">
        <v>44</v>
      </c>
      <c r="C13" s="3" t="s">
        <v>58</v>
      </c>
      <c r="D13" s="3" t="s">
        <v>46</v>
      </c>
      <c r="E13" s="3" t="s">
        <v>59</v>
      </c>
      <c r="F13" s="3" t="s">
        <v>60</v>
      </c>
      <c r="G13" s="4" t="n">
        <v>66.64</v>
      </c>
      <c r="H13" s="5" t="s">
        <v>16</v>
      </c>
      <c r="I13" s="6" t="n">
        <f aca="false">IF(H13="Heavy",0.16,0.08)</f>
        <v>0.16</v>
      </c>
      <c r="J13" s="7" t="n">
        <f aca="false">ROUND(G13*(2+I13),0)</f>
        <v>144</v>
      </c>
    </row>
    <row r="14" customFormat="false" ht="15" hidden="false" customHeight="true" outlineLevel="0" collapsed="false">
      <c r="A14" s="3" t="s">
        <v>17</v>
      </c>
      <c r="B14" s="3" t="s">
        <v>44</v>
      </c>
      <c r="C14" s="3" t="s">
        <v>61</v>
      </c>
      <c r="D14" s="3" t="s">
        <v>53</v>
      </c>
      <c r="E14" s="3" t="s">
        <v>62</v>
      </c>
      <c r="F14" s="3" t="s">
        <v>63</v>
      </c>
      <c r="G14" s="4" t="n">
        <v>6</v>
      </c>
      <c r="H14" s="3" t="s">
        <v>22</v>
      </c>
      <c r="I14" s="6" t="n">
        <f aca="false">IF(H14="Heavy",0.16,0.08)</f>
        <v>0.08</v>
      </c>
      <c r="J14" s="7" t="n">
        <f aca="false">ROUND(G14*(2+I14),0)</f>
        <v>12</v>
      </c>
    </row>
    <row r="15" customFormat="false" ht="23.25" hidden="false" customHeight="true" outlineLevel="0" collapsed="false">
      <c r="A15" s="3" t="s">
        <v>17</v>
      </c>
      <c r="B15" s="3" t="s">
        <v>44</v>
      </c>
      <c r="C15" s="3" t="s">
        <v>64</v>
      </c>
      <c r="D15" s="3" t="s">
        <v>56</v>
      </c>
      <c r="E15" s="3" t="s">
        <v>62</v>
      </c>
      <c r="F15" s="3" t="s">
        <v>65</v>
      </c>
      <c r="G15" s="4" t="n">
        <v>52.24</v>
      </c>
      <c r="H15" s="5" t="s">
        <v>16</v>
      </c>
      <c r="I15" s="6" t="n">
        <f aca="false">IF(H15="Heavy",0.16,0.08)</f>
        <v>0.16</v>
      </c>
      <c r="J15" s="7" t="n">
        <f aca="false">ROUND(G15*(2+I15),0)</f>
        <v>113</v>
      </c>
    </row>
    <row r="16" customFormat="false" ht="15" hidden="false" customHeight="true" outlineLevel="0" collapsed="false">
      <c r="A16" s="3" t="s">
        <v>17</v>
      </c>
      <c r="B16" s="3" t="s">
        <v>44</v>
      </c>
      <c r="C16" s="3" t="s">
        <v>66</v>
      </c>
      <c r="D16" s="3" t="s">
        <v>50</v>
      </c>
      <c r="E16" s="3" t="s">
        <v>62</v>
      </c>
      <c r="F16" s="3" t="s">
        <v>67</v>
      </c>
      <c r="G16" s="4" t="n">
        <v>57.23</v>
      </c>
      <c r="H16" s="5" t="s">
        <v>16</v>
      </c>
      <c r="I16" s="6" t="n">
        <f aca="false">IF(H16="Heavy",0.16,0.08)</f>
        <v>0.16</v>
      </c>
      <c r="J16" s="7" t="n">
        <f aca="false">ROUND(G16*(2+I16),0)</f>
        <v>124</v>
      </c>
    </row>
    <row r="17" customFormat="false" ht="23.25" hidden="false" customHeight="true" outlineLevel="0" collapsed="false">
      <c r="A17" s="3" t="s">
        <v>68</v>
      </c>
      <c r="B17" s="3" t="s">
        <v>69</v>
      </c>
      <c r="C17" s="3" t="s">
        <v>70</v>
      </c>
      <c r="D17" s="3" t="s">
        <v>71</v>
      </c>
      <c r="E17" s="3" t="s">
        <v>72</v>
      </c>
      <c r="F17" s="3" t="s">
        <v>73</v>
      </c>
      <c r="G17" s="4" t="n">
        <v>5.99</v>
      </c>
      <c r="H17" s="3" t="s">
        <v>22</v>
      </c>
      <c r="I17" s="6" t="n">
        <f aca="false">IF(H17="Heavy",0.16,0.08)</f>
        <v>0.08</v>
      </c>
      <c r="J17" s="7" t="n">
        <f aca="false">ROUND(G17*(2+I17),0)</f>
        <v>12</v>
      </c>
    </row>
    <row r="18" customFormat="false" ht="15" hidden="false" customHeight="true" outlineLevel="0" collapsed="false">
      <c r="A18" s="3" t="s">
        <v>68</v>
      </c>
      <c r="B18" s="3" t="s">
        <v>69</v>
      </c>
      <c r="C18" s="3" t="s">
        <v>74</v>
      </c>
      <c r="D18" s="3" t="s">
        <v>71</v>
      </c>
      <c r="E18" s="3" t="s">
        <v>75</v>
      </c>
      <c r="F18" s="3" t="s">
        <v>76</v>
      </c>
      <c r="G18" s="4" t="n">
        <v>6.63</v>
      </c>
      <c r="H18" s="3" t="s">
        <v>22</v>
      </c>
      <c r="I18" s="6" t="n">
        <f aca="false">IF(H18="Heavy",0.16,0.08)</f>
        <v>0.08</v>
      </c>
      <c r="J18" s="7" t="n">
        <f aca="false">ROUND(G18*(2+I18),0)</f>
        <v>14</v>
      </c>
    </row>
    <row r="19" customFormat="false" ht="15" hidden="false" customHeight="true" outlineLevel="0" collapsed="false">
      <c r="A19" s="3" t="s">
        <v>68</v>
      </c>
      <c r="B19" s="3" t="s">
        <v>69</v>
      </c>
      <c r="C19" s="3" t="s">
        <v>77</v>
      </c>
      <c r="D19" s="3" t="s">
        <v>71</v>
      </c>
      <c r="E19" s="3" t="s">
        <v>78</v>
      </c>
      <c r="F19" s="3" t="s">
        <v>79</v>
      </c>
      <c r="G19" s="4" t="n">
        <v>7.06</v>
      </c>
      <c r="H19" s="3" t="s">
        <v>22</v>
      </c>
      <c r="I19" s="6" t="n">
        <f aca="false">IF(H19="Heavy",0.16,0.08)</f>
        <v>0.08</v>
      </c>
      <c r="J19" s="7" t="n">
        <f aca="false">ROUND(G19*(2+I19),0)</f>
        <v>15</v>
      </c>
    </row>
    <row r="20" customFormat="false" ht="15" hidden="false" customHeight="true" outlineLevel="0" collapsed="false">
      <c r="A20" s="3" t="s">
        <v>68</v>
      </c>
      <c r="B20" s="3" t="s">
        <v>69</v>
      </c>
      <c r="C20" s="3" t="s">
        <v>80</v>
      </c>
      <c r="D20" s="3" t="s">
        <v>71</v>
      </c>
      <c r="E20" s="3" t="s">
        <v>81</v>
      </c>
      <c r="F20" s="3" t="s">
        <v>82</v>
      </c>
      <c r="G20" s="4" t="n">
        <v>9.95</v>
      </c>
      <c r="H20" s="3" t="s">
        <v>22</v>
      </c>
      <c r="I20" s="6" t="n">
        <f aca="false">IF(H20="Heavy",0.16,0.08)</f>
        <v>0.08</v>
      </c>
      <c r="J20" s="7" t="n">
        <f aca="false">ROUND(G20*(2+I20),0)</f>
        <v>21</v>
      </c>
    </row>
    <row r="21" customFormat="false" ht="23.25" hidden="false" customHeight="true" outlineLevel="0" collapsed="false">
      <c r="A21" s="3" t="s">
        <v>68</v>
      </c>
      <c r="B21" s="3" t="s">
        <v>69</v>
      </c>
      <c r="C21" s="3" t="s">
        <v>83</v>
      </c>
      <c r="D21" s="3" t="s">
        <v>84</v>
      </c>
      <c r="E21" s="3" t="s">
        <v>81</v>
      </c>
      <c r="F21" s="3" t="s">
        <v>85</v>
      </c>
      <c r="G21" s="4" t="n">
        <v>11.14</v>
      </c>
      <c r="H21" s="3" t="s">
        <v>22</v>
      </c>
      <c r="I21" s="6" t="n">
        <f aca="false">IF(H21="Heavy",0.16,0.08)</f>
        <v>0.08</v>
      </c>
      <c r="J21" s="7" t="n">
        <f aca="false">ROUND(G21*(2+I21),0)</f>
        <v>23</v>
      </c>
    </row>
    <row r="22" customFormat="false" ht="15" hidden="false" customHeight="true" outlineLevel="0" collapsed="false">
      <c r="A22" s="3" t="s">
        <v>68</v>
      </c>
      <c r="B22" s="3" t="s">
        <v>69</v>
      </c>
      <c r="C22" s="3" t="s">
        <v>86</v>
      </c>
      <c r="D22" s="3" t="s">
        <v>71</v>
      </c>
      <c r="E22" s="3" t="s">
        <v>87</v>
      </c>
      <c r="F22" s="3" t="s">
        <v>88</v>
      </c>
      <c r="G22" s="4" t="n">
        <v>11.89</v>
      </c>
      <c r="H22" s="3" t="s">
        <v>22</v>
      </c>
      <c r="I22" s="6" t="n">
        <f aca="false">IF(H22="Heavy",0.16,0.08)</f>
        <v>0.08</v>
      </c>
      <c r="J22" s="7" t="n">
        <f aca="false">ROUND(G22*(2+I22),0)</f>
        <v>25</v>
      </c>
    </row>
    <row r="23" customFormat="false" ht="15" hidden="false" customHeight="true" outlineLevel="0" collapsed="false">
      <c r="A23" s="3" t="s">
        <v>68</v>
      </c>
      <c r="B23" s="3" t="s">
        <v>69</v>
      </c>
      <c r="C23" s="3" t="s">
        <v>89</v>
      </c>
      <c r="D23" s="3" t="s">
        <v>71</v>
      </c>
      <c r="E23" s="3" t="s">
        <v>90</v>
      </c>
      <c r="F23" s="3" t="s">
        <v>91</v>
      </c>
      <c r="G23" s="4" t="n">
        <v>20.28</v>
      </c>
      <c r="H23" s="3" t="s">
        <v>22</v>
      </c>
      <c r="I23" s="6" t="n">
        <f aca="false">IF(H23="Heavy",0.16,0.08)</f>
        <v>0.08</v>
      </c>
      <c r="J23" s="7" t="n">
        <f aca="false">ROUND(G23*(2+I23),0)</f>
        <v>42</v>
      </c>
    </row>
    <row r="24" customFormat="false" ht="15" hidden="false" customHeight="true" outlineLevel="0" collapsed="false">
      <c r="A24" s="3" t="s">
        <v>68</v>
      </c>
      <c r="B24" s="3" t="s">
        <v>69</v>
      </c>
      <c r="C24" s="3" t="s">
        <v>92</v>
      </c>
      <c r="D24" s="3" t="s">
        <v>71</v>
      </c>
      <c r="E24" s="3" t="s">
        <v>93</v>
      </c>
      <c r="F24" s="3" t="s">
        <v>94</v>
      </c>
      <c r="G24" s="4" t="n">
        <v>18.13</v>
      </c>
      <c r="H24" s="3" t="s">
        <v>22</v>
      </c>
      <c r="I24" s="6" t="n">
        <f aca="false">IF(H24="Heavy",0.16,0.08)</f>
        <v>0.08</v>
      </c>
      <c r="J24" s="7" t="n">
        <f aca="false">ROUND(G24*(2+I24),0)</f>
        <v>38</v>
      </c>
    </row>
    <row r="25" customFormat="false" ht="15" hidden="false" customHeight="true" outlineLevel="0" collapsed="false">
      <c r="A25" s="3" t="s">
        <v>68</v>
      </c>
      <c r="B25" s="3" t="s">
        <v>69</v>
      </c>
      <c r="C25" s="3" t="s">
        <v>95</v>
      </c>
      <c r="D25" s="3" t="s">
        <v>71</v>
      </c>
      <c r="E25" s="3" t="s">
        <v>96</v>
      </c>
      <c r="F25" s="3" t="s">
        <v>97</v>
      </c>
      <c r="G25" s="4" t="n">
        <v>22.28</v>
      </c>
      <c r="H25" s="3" t="s">
        <v>22</v>
      </c>
      <c r="I25" s="6" t="n">
        <f aca="false">IF(H25="Heavy",0.16,0.08)</f>
        <v>0.08</v>
      </c>
      <c r="J25" s="7" t="n">
        <f aca="false">ROUND(G25*(2+I25),0)</f>
        <v>46</v>
      </c>
    </row>
    <row r="26" customFormat="false" ht="15" hidden="false" customHeight="true" outlineLevel="0" collapsed="false">
      <c r="A26" s="3" t="s">
        <v>98</v>
      </c>
      <c r="B26" s="3" t="s">
        <v>69</v>
      </c>
      <c r="C26" s="3" t="s">
        <v>99</v>
      </c>
      <c r="D26" s="3" t="s">
        <v>100</v>
      </c>
      <c r="E26" s="3" t="s">
        <v>101</v>
      </c>
      <c r="F26" s="3" t="s">
        <v>102</v>
      </c>
      <c r="G26" s="4" t="n">
        <v>10.83</v>
      </c>
      <c r="H26" s="3" t="s">
        <v>22</v>
      </c>
      <c r="I26" s="6" t="n">
        <f aca="false">IF(H26="Heavy",0.16,0.08)</f>
        <v>0.08</v>
      </c>
      <c r="J26" s="7" t="n">
        <f aca="false">ROUND(G26*(2+I26),0)</f>
        <v>23</v>
      </c>
    </row>
    <row r="27" customFormat="false" ht="15" hidden="false" customHeight="true" outlineLevel="0" collapsed="false">
      <c r="A27" s="3" t="s">
        <v>98</v>
      </c>
      <c r="B27" s="3" t="s">
        <v>69</v>
      </c>
      <c r="C27" s="3" t="s">
        <v>103</v>
      </c>
      <c r="D27" s="3" t="s">
        <v>100</v>
      </c>
      <c r="E27" s="3" t="s">
        <v>104</v>
      </c>
      <c r="F27" s="3" t="s">
        <v>105</v>
      </c>
      <c r="G27" s="4" t="n">
        <v>9.98</v>
      </c>
      <c r="H27" s="3" t="s">
        <v>22</v>
      </c>
      <c r="I27" s="6" t="n">
        <f aca="false">IF(H27="Heavy",0.16,0.08)</f>
        <v>0.08</v>
      </c>
      <c r="J27" s="7" t="n">
        <f aca="false">ROUND(G27*(2+I27),0)</f>
        <v>21</v>
      </c>
    </row>
    <row r="28" customFormat="false" ht="15" hidden="false" customHeight="true" outlineLevel="0" collapsed="false">
      <c r="A28" s="3" t="s">
        <v>68</v>
      </c>
      <c r="B28" s="3" t="s">
        <v>69</v>
      </c>
      <c r="C28" s="3" t="s">
        <v>106</v>
      </c>
      <c r="D28" s="3" t="s">
        <v>107</v>
      </c>
      <c r="E28" s="3" t="s">
        <v>81</v>
      </c>
      <c r="F28" s="3" t="s">
        <v>108</v>
      </c>
      <c r="G28" s="4" t="n">
        <v>5.33</v>
      </c>
      <c r="H28" s="3" t="s">
        <v>22</v>
      </c>
      <c r="I28" s="6" t="n">
        <f aca="false">IF(H28="Heavy",0.16,0.08)</f>
        <v>0.08</v>
      </c>
      <c r="J28" s="7" t="n">
        <f aca="false">ROUND(G28*(2+I28),0)</f>
        <v>11</v>
      </c>
    </row>
    <row r="29" customFormat="false" ht="15" hidden="false" customHeight="true" outlineLevel="0" collapsed="false">
      <c r="A29" s="3" t="s">
        <v>68</v>
      </c>
      <c r="B29" s="3" t="s">
        <v>69</v>
      </c>
      <c r="C29" s="3" t="s">
        <v>109</v>
      </c>
      <c r="D29" s="3" t="s">
        <v>107</v>
      </c>
      <c r="E29" s="3" t="s">
        <v>87</v>
      </c>
      <c r="F29" s="3" t="s">
        <v>110</v>
      </c>
      <c r="G29" s="4" t="n">
        <v>6.13</v>
      </c>
      <c r="H29" s="3" t="s">
        <v>22</v>
      </c>
      <c r="I29" s="6" t="n">
        <f aca="false">IF(H29="Heavy",0.16,0.08)</f>
        <v>0.08</v>
      </c>
      <c r="J29" s="7" t="n">
        <f aca="false">ROUND(G29*(2+I29),0)</f>
        <v>13</v>
      </c>
    </row>
    <row r="30" customFormat="false" ht="23.25" hidden="false" customHeight="true" outlineLevel="0" collapsed="false">
      <c r="A30" s="3" t="s">
        <v>111</v>
      </c>
      <c r="B30" s="3" t="s">
        <v>69</v>
      </c>
      <c r="C30" s="3" t="s">
        <v>112</v>
      </c>
      <c r="D30" s="3" t="s">
        <v>113</v>
      </c>
      <c r="E30" s="3" t="s">
        <v>114</v>
      </c>
      <c r="F30" s="3" t="s">
        <v>115</v>
      </c>
      <c r="G30" s="4" t="n">
        <v>4.58</v>
      </c>
      <c r="H30" s="3" t="s">
        <v>22</v>
      </c>
      <c r="I30" s="6" t="n">
        <f aca="false">IF(H30="Heavy",0.16,0.08)</f>
        <v>0.08</v>
      </c>
      <c r="J30" s="7" t="n">
        <f aca="false">ROUND(G30*(2+I30),0)</f>
        <v>10</v>
      </c>
    </row>
    <row r="31" customFormat="false" ht="15" hidden="false" customHeight="true" outlineLevel="0" collapsed="false">
      <c r="A31" s="3" t="s">
        <v>111</v>
      </c>
      <c r="B31" s="3" t="s">
        <v>69</v>
      </c>
      <c r="C31" s="3" t="s">
        <v>116</v>
      </c>
      <c r="D31" s="3" t="s">
        <v>117</v>
      </c>
      <c r="E31" s="3" t="s">
        <v>118</v>
      </c>
      <c r="F31" s="3" t="s">
        <v>119</v>
      </c>
      <c r="G31" s="4" t="n">
        <v>4.57</v>
      </c>
      <c r="H31" s="3" t="s">
        <v>22</v>
      </c>
      <c r="I31" s="6" t="n">
        <f aca="false">IF(H31="Heavy",0.16,0.08)</f>
        <v>0.08</v>
      </c>
      <c r="J31" s="7" t="n">
        <f aca="false">ROUND(G31*(2+I31),0)</f>
        <v>10</v>
      </c>
    </row>
    <row r="32" customFormat="false" ht="23.25" hidden="false" customHeight="true" outlineLevel="0" collapsed="false">
      <c r="A32" s="3" t="s">
        <v>120</v>
      </c>
      <c r="B32" s="3" t="s">
        <v>69</v>
      </c>
      <c r="C32" s="3" t="s">
        <v>121</v>
      </c>
      <c r="D32" s="3" t="s">
        <v>122</v>
      </c>
      <c r="E32" s="3" t="s">
        <v>123</v>
      </c>
      <c r="F32" s="3" t="s">
        <v>124</v>
      </c>
      <c r="G32" s="4" t="n">
        <v>12.16</v>
      </c>
      <c r="H32" s="3" t="s">
        <v>22</v>
      </c>
      <c r="I32" s="6" t="n">
        <f aca="false">IF(H32="Heavy",0.16,0.08)</f>
        <v>0.08</v>
      </c>
      <c r="J32" s="7" t="n">
        <f aca="false">ROUND(G32*(2+I32),0)</f>
        <v>25</v>
      </c>
    </row>
    <row r="33" customFormat="false" ht="23.25" hidden="false" customHeight="true" outlineLevel="0" collapsed="false">
      <c r="A33" s="3" t="s">
        <v>111</v>
      </c>
      <c r="B33" s="3" t="s">
        <v>69</v>
      </c>
      <c r="C33" s="3" t="s">
        <v>125</v>
      </c>
      <c r="D33" s="3" t="s">
        <v>126</v>
      </c>
      <c r="E33" s="3" t="s">
        <v>127</v>
      </c>
      <c r="F33" s="3" t="s">
        <v>128</v>
      </c>
      <c r="G33" s="4" t="n">
        <v>4.22</v>
      </c>
      <c r="H33" s="3" t="s">
        <v>22</v>
      </c>
      <c r="I33" s="6" t="n">
        <f aca="false">IF(H33="Heavy",0.16,0.08)</f>
        <v>0.08</v>
      </c>
      <c r="J33" s="7" t="n">
        <f aca="false">ROUND(G33*(2+I33),0)</f>
        <v>9</v>
      </c>
    </row>
    <row r="34" customFormat="false" ht="23.25" hidden="false" customHeight="true" outlineLevel="0" collapsed="false">
      <c r="A34" s="3" t="s">
        <v>111</v>
      </c>
      <c r="B34" s="3" t="s">
        <v>69</v>
      </c>
      <c r="C34" s="3" t="s">
        <v>129</v>
      </c>
      <c r="D34" s="3" t="s">
        <v>126</v>
      </c>
      <c r="E34" s="3" t="s">
        <v>130</v>
      </c>
      <c r="F34" s="3" t="s">
        <v>131</v>
      </c>
      <c r="G34" s="4" t="n">
        <v>4.22</v>
      </c>
      <c r="H34" s="3" t="s">
        <v>22</v>
      </c>
      <c r="I34" s="6" t="n">
        <f aca="false">IF(H34="Heavy",0.16,0.08)</f>
        <v>0.08</v>
      </c>
      <c r="J34" s="7" t="n">
        <f aca="false">ROUND(G34*(2+I34),0)</f>
        <v>9</v>
      </c>
    </row>
    <row r="35" customFormat="false" ht="23.25" hidden="false" customHeight="true" outlineLevel="0" collapsed="false">
      <c r="A35" s="3" t="s">
        <v>111</v>
      </c>
      <c r="B35" s="3" t="s">
        <v>69</v>
      </c>
      <c r="C35" s="3" t="s">
        <v>132</v>
      </c>
      <c r="D35" s="3" t="s">
        <v>126</v>
      </c>
      <c r="E35" s="3" t="s">
        <v>133</v>
      </c>
      <c r="F35" s="3" t="s">
        <v>134</v>
      </c>
      <c r="G35" s="4" t="n">
        <v>4.22</v>
      </c>
      <c r="H35" s="3" t="s">
        <v>22</v>
      </c>
      <c r="I35" s="6" t="n">
        <f aca="false">IF(H35="Heavy",0.16,0.08)</f>
        <v>0.08</v>
      </c>
      <c r="J35" s="7" t="n">
        <f aca="false">ROUND(G35*(2+I35),0)</f>
        <v>9</v>
      </c>
    </row>
    <row r="36" customFormat="false" ht="23.25" hidden="false" customHeight="true" outlineLevel="0" collapsed="false">
      <c r="A36" s="3" t="s">
        <v>120</v>
      </c>
      <c r="B36" s="3" t="s">
        <v>69</v>
      </c>
      <c r="C36" s="3" t="s">
        <v>135</v>
      </c>
      <c r="D36" s="3" t="s">
        <v>136</v>
      </c>
      <c r="E36" s="3" t="s">
        <v>137</v>
      </c>
      <c r="F36" s="3" t="s">
        <v>138</v>
      </c>
      <c r="G36" s="4" t="n">
        <v>6.33</v>
      </c>
      <c r="H36" s="3" t="s">
        <v>22</v>
      </c>
      <c r="I36" s="6" t="n">
        <f aca="false">IF(H36="Heavy",0.16,0.08)</f>
        <v>0.08</v>
      </c>
      <c r="J36" s="7" t="n">
        <f aca="false">ROUND(G36*(2+I36),0)</f>
        <v>13</v>
      </c>
    </row>
    <row r="37" customFormat="false" ht="15" hidden="false" customHeight="true" outlineLevel="0" collapsed="false">
      <c r="A37" s="3" t="s">
        <v>120</v>
      </c>
      <c r="B37" s="3" t="s">
        <v>69</v>
      </c>
      <c r="C37" s="3" t="s">
        <v>139</v>
      </c>
      <c r="D37" s="3" t="s">
        <v>140</v>
      </c>
      <c r="E37" s="3" t="s">
        <v>137</v>
      </c>
      <c r="F37" s="3" t="s">
        <v>141</v>
      </c>
      <c r="G37" s="4" t="n">
        <v>4.25</v>
      </c>
      <c r="H37" s="3" t="s">
        <v>22</v>
      </c>
      <c r="I37" s="6" t="n">
        <f aca="false">IF(H37="Heavy",0.16,0.08)</f>
        <v>0.08</v>
      </c>
      <c r="J37" s="7" t="n">
        <f aca="false">ROUND(G37*(2+I37),0)</f>
        <v>9</v>
      </c>
    </row>
    <row r="38" customFormat="false" ht="15" hidden="false" customHeight="true" outlineLevel="0" collapsed="false">
      <c r="A38" s="3" t="s">
        <v>120</v>
      </c>
      <c r="B38" s="3" t="s">
        <v>69</v>
      </c>
      <c r="C38" s="3" t="s">
        <v>142</v>
      </c>
      <c r="D38" s="3" t="s">
        <v>140</v>
      </c>
      <c r="E38" s="3" t="s">
        <v>143</v>
      </c>
      <c r="F38" s="3" t="s">
        <v>144</v>
      </c>
      <c r="G38" s="4" t="n">
        <v>8.36</v>
      </c>
      <c r="H38" s="3" t="s">
        <v>22</v>
      </c>
      <c r="I38" s="6" t="n">
        <f aca="false">IF(H38="Heavy",0.16,0.08)</f>
        <v>0.08</v>
      </c>
      <c r="J38" s="7" t="n">
        <f aca="false">ROUND(G38*(2+I38),0)</f>
        <v>17</v>
      </c>
    </row>
    <row r="39" customFormat="false" ht="15" hidden="false" customHeight="true" outlineLevel="0" collapsed="false">
      <c r="A39" s="3" t="s">
        <v>120</v>
      </c>
      <c r="B39" s="3" t="s">
        <v>69</v>
      </c>
      <c r="C39" s="3" t="s">
        <v>145</v>
      </c>
      <c r="D39" s="3" t="s">
        <v>146</v>
      </c>
      <c r="E39" s="3" t="s">
        <v>147</v>
      </c>
      <c r="F39" s="3" t="s">
        <v>148</v>
      </c>
      <c r="G39" s="4" t="n">
        <v>15.14</v>
      </c>
      <c r="H39" s="3" t="s">
        <v>22</v>
      </c>
      <c r="I39" s="6" t="n">
        <f aca="false">IF(H39="Heavy",0.16,0.08)</f>
        <v>0.08</v>
      </c>
      <c r="J39" s="7" t="n">
        <f aca="false">ROUND(G39*(2+I39),0)</f>
        <v>31</v>
      </c>
    </row>
    <row r="40" customFormat="false" ht="15" hidden="false" customHeight="true" outlineLevel="0" collapsed="false">
      <c r="A40" s="3" t="s">
        <v>149</v>
      </c>
      <c r="B40" s="3" t="s">
        <v>69</v>
      </c>
      <c r="C40" s="3" t="s">
        <v>150</v>
      </c>
      <c r="D40" s="3" t="s">
        <v>151</v>
      </c>
      <c r="E40" s="3" t="s">
        <v>152</v>
      </c>
      <c r="F40" s="3" t="s">
        <v>153</v>
      </c>
      <c r="G40" s="4" t="n">
        <v>6.06</v>
      </c>
      <c r="H40" s="3" t="s">
        <v>22</v>
      </c>
      <c r="I40" s="6" t="n">
        <f aca="false">IF(H40="Heavy",0.16,0.08)</f>
        <v>0.08</v>
      </c>
      <c r="J40" s="7" t="n">
        <f aca="false">ROUND(G40*(2+I40),0)</f>
        <v>13</v>
      </c>
    </row>
    <row r="41" customFormat="false" ht="15" hidden="false" customHeight="true" outlineLevel="0" collapsed="false">
      <c r="A41" s="3" t="s">
        <v>149</v>
      </c>
      <c r="B41" s="3" t="s">
        <v>69</v>
      </c>
      <c r="C41" s="3" t="s">
        <v>154</v>
      </c>
      <c r="D41" s="3" t="s">
        <v>151</v>
      </c>
      <c r="E41" s="3" t="s">
        <v>155</v>
      </c>
      <c r="F41" s="3" t="s">
        <v>156</v>
      </c>
      <c r="G41" s="4" t="n">
        <v>6.06</v>
      </c>
      <c r="H41" s="3" t="s">
        <v>22</v>
      </c>
      <c r="I41" s="6" t="n">
        <f aca="false">IF(H41="Heavy",0.16,0.08)</f>
        <v>0.08</v>
      </c>
      <c r="J41" s="7" t="n">
        <f aca="false">ROUND(G41*(2+I41),0)</f>
        <v>13</v>
      </c>
    </row>
    <row r="42" customFormat="false" ht="15" hidden="false" customHeight="true" outlineLevel="0" collapsed="false">
      <c r="A42" s="3" t="s">
        <v>149</v>
      </c>
      <c r="B42" s="3" t="s">
        <v>69</v>
      </c>
      <c r="C42" s="3" t="s">
        <v>157</v>
      </c>
      <c r="D42" s="3" t="s">
        <v>151</v>
      </c>
      <c r="E42" s="3" t="s">
        <v>158</v>
      </c>
      <c r="F42" s="3" t="s">
        <v>159</v>
      </c>
      <c r="G42" s="4" t="n">
        <v>8.03</v>
      </c>
      <c r="H42" s="3" t="s">
        <v>22</v>
      </c>
      <c r="I42" s="6" t="n">
        <f aca="false">IF(H42="Heavy",0.16,0.08)</f>
        <v>0.08</v>
      </c>
      <c r="J42" s="7" t="n">
        <f aca="false">ROUND(G42*(2+I42),0)</f>
        <v>17</v>
      </c>
    </row>
    <row r="43" customFormat="false" ht="15" hidden="false" customHeight="true" outlineLevel="0" collapsed="false">
      <c r="A43" s="3" t="s">
        <v>149</v>
      </c>
      <c r="B43" s="3" t="s">
        <v>69</v>
      </c>
      <c r="C43" s="3" t="s">
        <v>160</v>
      </c>
      <c r="D43" s="3" t="s">
        <v>161</v>
      </c>
      <c r="E43" s="3" t="s">
        <v>162</v>
      </c>
      <c r="F43" s="3" t="s">
        <v>163</v>
      </c>
      <c r="G43" s="4" t="n">
        <v>11.06</v>
      </c>
      <c r="H43" s="3" t="s">
        <v>22</v>
      </c>
      <c r="I43" s="6" t="n">
        <f aca="false">IF(H43="Heavy",0.16,0.08)</f>
        <v>0.08</v>
      </c>
      <c r="J43" s="7" t="n">
        <f aca="false">ROUND(G43*(2+I43),0)</f>
        <v>23</v>
      </c>
    </row>
    <row r="44" customFormat="false" ht="15" hidden="false" customHeight="true" outlineLevel="0" collapsed="false">
      <c r="A44" s="3" t="s">
        <v>149</v>
      </c>
      <c r="B44" s="3" t="s">
        <v>69</v>
      </c>
      <c r="C44" s="3" t="s">
        <v>164</v>
      </c>
      <c r="D44" s="3" t="s">
        <v>161</v>
      </c>
      <c r="E44" s="3" t="s">
        <v>165</v>
      </c>
      <c r="F44" s="3" t="s">
        <v>166</v>
      </c>
      <c r="G44" s="4" t="n">
        <v>11.38</v>
      </c>
      <c r="H44" s="3" t="s">
        <v>22</v>
      </c>
      <c r="I44" s="6" t="n">
        <f aca="false">IF(H44="Heavy",0.16,0.08)</f>
        <v>0.08</v>
      </c>
      <c r="J44" s="7" t="n">
        <f aca="false">ROUND(G44*(2+I44),0)</f>
        <v>24</v>
      </c>
    </row>
    <row r="45" customFormat="false" ht="15" hidden="false" customHeight="true" outlineLevel="0" collapsed="false">
      <c r="A45" s="3" t="s">
        <v>149</v>
      </c>
      <c r="B45" s="3" t="s">
        <v>69</v>
      </c>
      <c r="C45" s="3" t="s">
        <v>167</v>
      </c>
      <c r="D45" s="3" t="s">
        <v>161</v>
      </c>
      <c r="E45" s="3" t="s">
        <v>168</v>
      </c>
      <c r="F45" s="3" t="s">
        <v>169</v>
      </c>
      <c r="G45" s="4" t="n">
        <v>16.38</v>
      </c>
      <c r="H45" s="3" t="s">
        <v>22</v>
      </c>
      <c r="I45" s="6" t="n">
        <f aca="false">IF(H45="Heavy",0.16,0.08)</f>
        <v>0.08</v>
      </c>
      <c r="J45" s="7" t="n">
        <f aca="false">ROUND(G45*(2+I45),0)</f>
        <v>34</v>
      </c>
    </row>
    <row r="46" customFormat="false" ht="23.25" hidden="false" customHeight="true" outlineLevel="0" collapsed="false">
      <c r="A46" s="3" t="s">
        <v>149</v>
      </c>
      <c r="B46" s="3" t="s">
        <v>69</v>
      </c>
      <c r="C46" s="3" t="s">
        <v>170</v>
      </c>
      <c r="D46" s="3" t="s">
        <v>171</v>
      </c>
      <c r="E46" s="3"/>
      <c r="F46" s="3" t="s">
        <v>172</v>
      </c>
      <c r="G46" s="4" t="n">
        <v>13.98</v>
      </c>
      <c r="H46" s="3" t="s">
        <v>22</v>
      </c>
      <c r="I46" s="6" t="n">
        <f aca="false">IF(H46="Heavy",0.16,0.08)</f>
        <v>0.08</v>
      </c>
      <c r="J46" s="7" t="n">
        <f aca="false">ROUND(G46*(2+I46),0)</f>
        <v>29</v>
      </c>
    </row>
    <row r="47" customFormat="false" ht="23.25" hidden="false" customHeight="true" outlineLevel="0" collapsed="false">
      <c r="A47" s="3" t="s">
        <v>120</v>
      </c>
      <c r="B47" s="3" t="s">
        <v>69</v>
      </c>
      <c r="C47" s="3" t="s">
        <v>173</v>
      </c>
      <c r="D47" s="3" t="s">
        <v>174</v>
      </c>
      <c r="E47" s="3"/>
      <c r="F47" s="3" t="s">
        <v>175</v>
      </c>
      <c r="G47" s="4" t="n">
        <v>14.2</v>
      </c>
      <c r="H47" s="5" t="s">
        <v>16</v>
      </c>
      <c r="I47" s="6" t="n">
        <f aca="false">IF(H47="Heavy",0.16,0.08)</f>
        <v>0.16</v>
      </c>
      <c r="J47" s="7" t="n">
        <f aca="false">ROUND(G47*(2+I47),0)</f>
        <v>31</v>
      </c>
    </row>
    <row r="48" customFormat="false" ht="23.25" hidden="false" customHeight="true" outlineLevel="0" collapsed="false">
      <c r="A48" s="3" t="s">
        <v>120</v>
      </c>
      <c r="B48" s="3" t="s">
        <v>69</v>
      </c>
      <c r="C48" s="3" t="s">
        <v>176</v>
      </c>
      <c r="D48" s="3" t="s">
        <v>136</v>
      </c>
      <c r="E48" s="3" t="s">
        <v>143</v>
      </c>
      <c r="F48" s="3" t="s">
        <v>177</v>
      </c>
      <c r="G48" s="4" t="n">
        <v>11.76</v>
      </c>
      <c r="H48" s="3" t="s">
        <v>22</v>
      </c>
      <c r="I48" s="6" t="n">
        <f aca="false">IF(H48="Heavy",0.16,0.08)</f>
        <v>0.08</v>
      </c>
      <c r="J48" s="7" t="n">
        <f aca="false">ROUND(G48*(2+I48),0)</f>
        <v>24</v>
      </c>
    </row>
    <row r="49" customFormat="false" ht="15" hidden="false" customHeight="true" outlineLevel="0" collapsed="false">
      <c r="A49" s="3" t="s">
        <v>178</v>
      </c>
      <c r="B49" s="3" t="s">
        <v>69</v>
      </c>
      <c r="C49" s="3" t="s">
        <v>179</v>
      </c>
      <c r="D49" s="3" t="s">
        <v>180</v>
      </c>
      <c r="E49" s="3" t="s">
        <v>181</v>
      </c>
      <c r="F49" s="3" t="s">
        <v>182</v>
      </c>
      <c r="G49" s="4" t="n">
        <v>5.05</v>
      </c>
      <c r="H49" s="3" t="s">
        <v>22</v>
      </c>
      <c r="I49" s="6" t="n">
        <f aca="false">IF(H49="Heavy",0.16,0.08)</f>
        <v>0.08</v>
      </c>
      <c r="J49" s="7" t="n">
        <f aca="false">ROUND(G49*(2+I49),0)</f>
        <v>11</v>
      </c>
    </row>
    <row r="50" customFormat="false" ht="23.25" hidden="false" customHeight="true" outlineLevel="0" collapsed="false">
      <c r="A50" s="3" t="s">
        <v>183</v>
      </c>
      <c r="B50" s="3" t="s">
        <v>69</v>
      </c>
      <c r="C50" s="3" t="s">
        <v>184</v>
      </c>
      <c r="D50" s="3" t="s">
        <v>185</v>
      </c>
      <c r="E50" s="3"/>
      <c r="F50" s="3" t="s">
        <v>186</v>
      </c>
      <c r="G50" s="4" t="n">
        <v>15.89</v>
      </c>
      <c r="H50" s="3" t="s">
        <v>22</v>
      </c>
      <c r="I50" s="6" t="n">
        <f aca="false">IF(H50="Heavy",0.16,0.08)</f>
        <v>0.08</v>
      </c>
      <c r="J50" s="7" t="n">
        <f aca="false">ROUND(G50*(2+I50),0)</f>
        <v>33</v>
      </c>
    </row>
    <row r="51" customFormat="false" ht="15" hidden="false" customHeight="true" outlineLevel="0" collapsed="false">
      <c r="A51" s="3" t="s">
        <v>187</v>
      </c>
      <c r="B51" s="3" t="s">
        <v>69</v>
      </c>
      <c r="C51" s="3" t="s">
        <v>188</v>
      </c>
      <c r="D51" s="3" t="s">
        <v>189</v>
      </c>
      <c r="E51" s="3" t="s">
        <v>123</v>
      </c>
      <c r="F51" s="3" t="s">
        <v>190</v>
      </c>
      <c r="G51" s="4" t="n">
        <v>8.52</v>
      </c>
      <c r="H51" s="3" t="s">
        <v>22</v>
      </c>
      <c r="I51" s="6" t="n">
        <f aca="false">IF(H51="Heavy",0.16,0.08)</f>
        <v>0.08</v>
      </c>
      <c r="J51" s="7" t="n">
        <f aca="false">ROUND(G51*(2+I51),0)</f>
        <v>18</v>
      </c>
    </row>
    <row r="52" customFormat="false" ht="23.25" hidden="false" customHeight="true" outlineLevel="0" collapsed="false">
      <c r="A52" s="3" t="s">
        <v>191</v>
      </c>
      <c r="B52" s="3" t="s">
        <v>69</v>
      </c>
      <c r="C52" s="3" t="s">
        <v>192</v>
      </c>
      <c r="D52" s="3" t="s">
        <v>193</v>
      </c>
      <c r="E52" s="3"/>
      <c r="F52" s="3" t="s">
        <v>194</v>
      </c>
      <c r="G52" s="4" t="n">
        <v>58.86</v>
      </c>
      <c r="H52" s="5" t="s">
        <v>16</v>
      </c>
      <c r="I52" s="6" t="n">
        <f aca="false">IF(H52="Heavy",0.16,0.08)</f>
        <v>0.16</v>
      </c>
      <c r="J52" s="7" t="n">
        <f aca="false">ROUND(G52*(2+I52),0)</f>
        <v>127</v>
      </c>
    </row>
    <row r="53" customFormat="false" ht="23.25" hidden="false" customHeight="true" outlineLevel="0" collapsed="false">
      <c r="A53" s="3" t="s">
        <v>191</v>
      </c>
      <c r="B53" s="3" t="s">
        <v>69</v>
      </c>
      <c r="C53" s="3" t="s">
        <v>195</v>
      </c>
      <c r="D53" s="3" t="s">
        <v>196</v>
      </c>
      <c r="E53" s="3"/>
      <c r="F53" s="3" t="s">
        <v>197</v>
      </c>
      <c r="G53" s="4" t="n">
        <v>52.98</v>
      </c>
      <c r="H53" s="5" t="s">
        <v>16</v>
      </c>
      <c r="I53" s="6" t="n">
        <f aca="false">IF(H53="Heavy",0.16,0.08)</f>
        <v>0.16</v>
      </c>
      <c r="J53" s="7" t="n">
        <f aca="false">ROUND(G53*(2+I53),0)</f>
        <v>114</v>
      </c>
    </row>
    <row r="54" customFormat="false" ht="15" hidden="false" customHeight="true" outlineLevel="0" collapsed="false">
      <c r="A54" s="3" t="s">
        <v>198</v>
      </c>
      <c r="B54" s="3" t="s">
        <v>69</v>
      </c>
      <c r="C54" s="3" t="s">
        <v>199</v>
      </c>
      <c r="D54" s="3" t="s">
        <v>200</v>
      </c>
      <c r="E54" s="3" t="s">
        <v>201</v>
      </c>
      <c r="F54" s="3" t="s">
        <v>202</v>
      </c>
      <c r="G54" s="4" t="n">
        <v>11.23</v>
      </c>
      <c r="H54" s="5" t="s">
        <v>16</v>
      </c>
      <c r="I54" s="6" t="n">
        <f aca="false">IF(H54="Heavy",0.16,0.08)</f>
        <v>0.16</v>
      </c>
      <c r="J54" s="7" t="n">
        <f aca="false">ROUND(G54*(2+I54),0)</f>
        <v>24</v>
      </c>
    </row>
    <row r="55" customFormat="false" ht="23.25" hidden="false" customHeight="true" outlineLevel="0" collapsed="false">
      <c r="A55" s="3" t="s">
        <v>198</v>
      </c>
      <c r="B55" s="3" t="s">
        <v>69</v>
      </c>
      <c r="C55" s="3" t="s">
        <v>203</v>
      </c>
      <c r="D55" s="3" t="s">
        <v>204</v>
      </c>
      <c r="E55" s="3" t="s">
        <v>205</v>
      </c>
      <c r="F55" s="3" t="s">
        <v>206</v>
      </c>
      <c r="G55" s="4" t="n">
        <v>11.86</v>
      </c>
      <c r="H55" s="3" t="s">
        <v>22</v>
      </c>
      <c r="I55" s="6" t="n">
        <f aca="false">IF(H55="Heavy",0.16,0.08)</f>
        <v>0.08</v>
      </c>
      <c r="J55" s="7" t="n">
        <f aca="false">ROUND(G55*(2+I55),0)</f>
        <v>25</v>
      </c>
    </row>
    <row r="56" customFormat="false" ht="15" hidden="false" customHeight="true" outlineLevel="0" collapsed="false">
      <c r="A56" s="3" t="s">
        <v>198</v>
      </c>
      <c r="B56" s="3" t="s">
        <v>69</v>
      </c>
      <c r="C56" s="3" t="s">
        <v>207</v>
      </c>
      <c r="D56" s="3" t="s">
        <v>208</v>
      </c>
      <c r="E56" s="3" t="s">
        <v>209</v>
      </c>
      <c r="F56" s="3" t="s">
        <v>210</v>
      </c>
      <c r="G56" s="4" t="n">
        <v>10.45</v>
      </c>
      <c r="H56" s="5" t="s">
        <v>16</v>
      </c>
      <c r="I56" s="6" t="n">
        <f aca="false">IF(H56="Heavy",0.16,0.08)</f>
        <v>0.16</v>
      </c>
      <c r="J56" s="7" t="n">
        <f aca="false">ROUND(G56*(2+I56),0)</f>
        <v>23</v>
      </c>
    </row>
    <row r="57" customFormat="false" ht="23.25" hidden="false" customHeight="true" outlineLevel="0" collapsed="false">
      <c r="A57" s="3" t="s">
        <v>191</v>
      </c>
      <c r="B57" s="3" t="s">
        <v>69</v>
      </c>
      <c r="C57" s="3" t="s">
        <v>211</v>
      </c>
      <c r="D57" s="3" t="s">
        <v>212</v>
      </c>
      <c r="E57" s="3"/>
      <c r="F57" s="3" t="s">
        <v>213</v>
      </c>
      <c r="G57" s="4" t="n">
        <v>11.21</v>
      </c>
      <c r="H57" s="3" t="s">
        <v>22</v>
      </c>
      <c r="I57" s="6" t="n">
        <f aca="false">IF(H57="Heavy",0.16,0.08)</f>
        <v>0.08</v>
      </c>
      <c r="J57" s="7" t="n">
        <f aca="false">ROUND(G57*(2+I57),0)</f>
        <v>23</v>
      </c>
    </row>
    <row r="58" customFormat="false" ht="23.25" hidden="false" customHeight="true" outlineLevel="0" collapsed="false">
      <c r="A58" s="3" t="s">
        <v>187</v>
      </c>
      <c r="B58" s="3" t="s">
        <v>69</v>
      </c>
      <c r="C58" s="3" t="s">
        <v>214</v>
      </c>
      <c r="D58" s="3" t="s">
        <v>215</v>
      </c>
      <c r="E58" s="3" t="s">
        <v>216</v>
      </c>
      <c r="F58" s="3" t="s">
        <v>217</v>
      </c>
      <c r="G58" s="4" t="n">
        <v>5.79</v>
      </c>
      <c r="H58" s="3" t="s">
        <v>22</v>
      </c>
      <c r="I58" s="6" t="n">
        <f aca="false">IF(H58="Heavy",0.16,0.08)</f>
        <v>0.08</v>
      </c>
      <c r="J58" s="7" t="n">
        <f aca="false">ROUND(G58*(2+I58),0)</f>
        <v>12</v>
      </c>
    </row>
    <row r="59" customFormat="false" ht="23.25" hidden="false" customHeight="true" outlineLevel="0" collapsed="false">
      <c r="A59" s="3" t="s">
        <v>187</v>
      </c>
      <c r="B59" s="3" t="s">
        <v>69</v>
      </c>
      <c r="C59" s="3" t="s">
        <v>218</v>
      </c>
      <c r="D59" s="3" t="s">
        <v>215</v>
      </c>
      <c r="E59" s="3" t="s">
        <v>219</v>
      </c>
      <c r="F59" s="3" t="s">
        <v>220</v>
      </c>
      <c r="G59" s="4" t="n">
        <v>14.89</v>
      </c>
      <c r="H59" s="3" t="s">
        <v>22</v>
      </c>
      <c r="I59" s="6" t="n">
        <f aca="false">IF(H59="Heavy",0.16,0.08)</f>
        <v>0.08</v>
      </c>
      <c r="J59" s="7" t="n">
        <f aca="false">ROUND(G59*(2+I59),0)</f>
        <v>31</v>
      </c>
    </row>
    <row r="60" customFormat="false" ht="23.25" hidden="false" customHeight="true" outlineLevel="0" collapsed="false">
      <c r="A60" s="3" t="s">
        <v>187</v>
      </c>
      <c r="B60" s="3" t="s">
        <v>69</v>
      </c>
      <c r="C60" s="3" t="s">
        <v>221</v>
      </c>
      <c r="D60" s="3" t="s">
        <v>222</v>
      </c>
      <c r="E60" s="3" t="s">
        <v>223</v>
      </c>
      <c r="F60" s="3" t="s">
        <v>224</v>
      </c>
      <c r="G60" s="4" t="n">
        <v>5.43</v>
      </c>
      <c r="H60" s="3" t="s">
        <v>22</v>
      </c>
      <c r="I60" s="6" t="n">
        <f aca="false">IF(H60="Heavy",0.16,0.08)</f>
        <v>0.08</v>
      </c>
      <c r="J60" s="7" t="n">
        <f aca="false">ROUND(G60*(2+I60),0)</f>
        <v>11</v>
      </c>
    </row>
    <row r="61" customFormat="false" ht="15" hidden="false" customHeight="true" outlineLevel="0" collapsed="false">
      <c r="A61" s="3" t="s">
        <v>225</v>
      </c>
      <c r="B61" s="3" t="s">
        <v>69</v>
      </c>
      <c r="C61" s="3" t="s">
        <v>226</v>
      </c>
      <c r="D61" s="3" t="s">
        <v>227</v>
      </c>
      <c r="E61" s="3" t="s">
        <v>228</v>
      </c>
      <c r="F61" s="3" t="s">
        <v>229</v>
      </c>
      <c r="G61" s="4" t="n">
        <v>3.32</v>
      </c>
      <c r="H61" s="3" t="s">
        <v>22</v>
      </c>
      <c r="I61" s="6" t="n">
        <f aca="false">IF(H61="Heavy",0.16,0.08)</f>
        <v>0.08</v>
      </c>
      <c r="J61" s="7" t="n">
        <f aca="false">ROUND(G61*(2+I61),0)</f>
        <v>7</v>
      </c>
    </row>
    <row r="62" customFormat="false" ht="15" hidden="false" customHeight="true" outlineLevel="0" collapsed="false">
      <c r="A62" s="3" t="s">
        <v>225</v>
      </c>
      <c r="B62" s="3" t="s">
        <v>69</v>
      </c>
      <c r="C62" s="3" t="s">
        <v>230</v>
      </c>
      <c r="D62" s="3" t="s">
        <v>227</v>
      </c>
      <c r="E62" s="3" t="s">
        <v>231</v>
      </c>
      <c r="F62" s="3" t="s">
        <v>232</v>
      </c>
      <c r="G62" s="4" t="n">
        <v>16.93</v>
      </c>
      <c r="H62" s="5" t="s">
        <v>16</v>
      </c>
      <c r="I62" s="6" t="n">
        <f aca="false">IF(H62="Heavy",0.16,0.08)</f>
        <v>0.16</v>
      </c>
      <c r="J62" s="7" t="n">
        <f aca="false">ROUND(G62*(2+I62),0)</f>
        <v>37</v>
      </c>
    </row>
    <row r="63" customFormat="false" ht="15" hidden="false" customHeight="true" outlineLevel="0" collapsed="false">
      <c r="A63" s="3" t="s">
        <v>225</v>
      </c>
      <c r="B63" s="3" t="s">
        <v>69</v>
      </c>
      <c r="C63" s="3" t="s">
        <v>233</v>
      </c>
      <c r="D63" s="3" t="s">
        <v>234</v>
      </c>
      <c r="E63" s="3" t="s">
        <v>123</v>
      </c>
      <c r="F63" s="3" t="s">
        <v>235</v>
      </c>
      <c r="G63" s="4" t="n">
        <v>10.46</v>
      </c>
      <c r="H63" s="3" t="s">
        <v>22</v>
      </c>
      <c r="I63" s="6" t="n">
        <f aca="false">IF(H63="Heavy",0.16,0.08)</f>
        <v>0.08</v>
      </c>
      <c r="J63" s="7" t="n">
        <f aca="false">ROUND(G63*(2+I63),0)</f>
        <v>22</v>
      </c>
    </row>
    <row r="64" customFormat="false" ht="15" hidden="false" customHeight="true" outlineLevel="0" collapsed="false">
      <c r="A64" s="3" t="s">
        <v>225</v>
      </c>
      <c r="B64" s="3" t="s">
        <v>69</v>
      </c>
      <c r="C64" s="3" t="s">
        <v>236</v>
      </c>
      <c r="D64" s="3" t="s">
        <v>237</v>
      </c>
      <c r="E64" s="3" t="s">
        <v>238</v>
      </c>
      <c r="F64" s="3" t="s">
        <v>239</v>
      </c>
      <c r="G64" s="4" t="n">
        <v>9.03</v>
      </c>
      <c r="H64" s="5" t="s">
        <v>16</v>
      </c>
      <c r="I64" s="6" t="n">
        <f aca="false">IF(H64="Heavy",0.16,0.08)</f>
        <v>0.16</v>
      </c>
      <c r="J64" s="7" t="n">
        <f aca="false">ROUND(G64*(2+I64),0)</f>
        <v>20</v>
      </c>
    </row>
    <row r="65" customFormat="false" ht="15" hidden="false" customHeight="true" outlineLevel="0" collapsed="false">
      <c r="A65" s="3" t="s">
        <v>225</v>
      </c>
      <c r="B65" s="3" t="s">
        <v>69</v>
      </c>
      <c r="C65" s="3" t="s">
        <v>240</v>
      </c>
      <c r="D65" s="3" t="s">
        <v>237</v>
      </c>
      <c r="E65" s="3" t="s">
        <v>241</v>
      </c>
      <c r="F65" s="3" t="s">
        <v>242</v>
      </c>
      <c r="G65" s="4" t="n">
        <v>16.5</v>
      </c>
      <c r="H65" s="5" t="s">
        <v>16</v>
      </c>
      <c r="I65" s="6" t="n">
        <f aca="false">IF(H65="Heavy",0.16,0.08)</f>
        <v>0.16</v>
      </c>
      <c r="J65" s="7" t="n">
        <f aca="false">ROUND(G65*(2+I65),0)</f>
        <v>36</v>
      </c>
    </row>
    <row r="66" customFormat="false" ht="15" hidden="false" customHeight="true" outlineLevel="0" collapsed="false">
      <c r="A66" s="3" t="s">
        <v>225</v>
      </c>
      <c r="B66" s="3" t="s">
        <v>69</v>
      </c>
      <c r="C66" s="3" t="s">
        <v>243</v>
      </c>
      <c r="D66" s="3" t="s">
        <v>237</v>
      </c>
      <c r="E66" s="3" t="s">
        <v>244</v>
      </c>
      <c r="F66" s="3" t="s">
        <v>245</v>
      </c>
      <c r="G66" s="4" t="n">
        <v>17.72</v>
      </c>
      <c r="H66" s="5" t="s">
        <v>16</v>
      </c>
      <c r="I66" s="6" t="n">
        <f aca="false">IF(H66="Heavy",0.16,0.08)</f>
        <v>0.16</v>
      </c>
      <c r="J66" s="7" t="n">
        <f aca="false">ROUND(G66*(2+I66),0)</f>
        <v>38</v>
      </c>
    </row>
    <row r="67" customFormat="false" ht="23.25" hidden="false" customHeight="true" outlineLevel="0" collapsed="false">
      <c r="A67" s="3" t="s">
        <v>246</v>
      </c>
      <c r="B67" s="3" t="s">
        <v>247</v>
      </c>
      <c r="C67" s="3" t="s">
        <v>248</v>
      </c>
      <c r="D67" s="3" t="s">
        <v>249</v>
      </c>
      <c r="E67" s="3" t="s">
        <v>250</v>
      </c>
      <c r="F67" s="3" t="s">
        <v>251</v>
      </c>
      <c r="G67" s="4" t="n">
        <v>72.86</v>
      </c>
      <c r="H67" s="5" t="s">
        <v>16</v>
      </c>
      <c r="I67" s="6" t="n">
        <f aca="false">IF(H67="Heavy",0.16,0.08)</f>
        <v>0.16</v>
      </c>
      <c r="J67" s="7" t="n">
        <f aca="false">ROUND(G67*(2+I67),0)</f>
        <v>157</v>
      </c>
    </row>
    <row r="68" customFormat="false" ht="23.25" hidden="false" customHeight="true" outlineLevel="0" collapsed="false">
      <c r="A68" s="3" t="s">
        <v>246</v>
      </c>
      <c r="B68" s="3" t="s">
        <v>247</v>
      </c>
      <c r="C68" s="3" t="s">
        <v>252</v>
      </c>
      <c r="D68" s="3" t="s">
        <v>249</v>
      </c>
      <c r="E68" s="3" t="s">
        <v>253</v>
      </c>
      <c r="F68" s="3" t="s">
        <v>254</v>
      </c>
      <c r="G68" s="4" t="n">
        <v>72.86</v>
      </c>
      <c r="H68" s="5" t="s">
        <v>16</v>
      </c>
      <c r="I68" s="6" t="n">
        <f aca="false">IF(H68="Heavy",0.16,0.08)</f>
        <v>0.16</v>
      </c>
      <c r="J68" s="7" t="n">
        <f aca="false">ROUND(G68*(2+I68),0)</f>
        <v>157</v>
      </c>
    </row>
    <row r="69" customFormat="false" ht="23.25" hidden="false" customHeight="true" outlineLevel="0" collapsed="false">
      <c r="A69" s="3" t="s">
        <v>246</v>
      </c>
      <c r="B69" s="3" t="s">
        <v>247</v>
      </c>
      <c r="C69" s="3" t="s">
        <v>255</v>
      </c>
      <c r="D69" s="3" t="s">
        <v>249</v>
      </c>
      <c r="E69" s="3" t="s">
        <v>256</v>
      </c>
      <c r="F69" s="3" t="s">
        <v>257</v>
      </c>
      <c r="G69" s="4" t="n">
        <v>72.86</v>
      </c>
      <c r="H69" s="5" t="s">
        <v>16</v>
      </c>
      <c r="I69" s="6" t="n">
        <f aca="false">IF(H69="Heavy",0.16,0.08)</f>
        <v>0.16</v>
      </c>
      <c r="J69" s="7" t="n">
        <f aca="false">ROUND(G69*(2+I69),0)</f>
        <v>157</v>
      </c>
    </row>
    <row r="70" customFormat="false" ht="23.25" hidden="false" customHeight="true" outlineLevel="0" collapsed="false">
      <c r="A70" s="3" t="s">
        <v>246</v>
      </c>
      <c r="B70" s="3" t="s">
        <v>247</v>
      </c>
      <c r="C70" s="3" t="s">
        <v>258</v>
      </c>
      <c r="D70" s="3" t="s">
        <v>249</v>
      </c>
      <c r="E70" s="3" t="s">
        <v>259</v>
      </c>
      <c r="F70" s="3" t="s">
        <v>260</v>
      </c>
      <c r="G70" s="4" t="n">
        <v>72.86</v>
      </c>
      <c r="H70" s="5" t="s">
        <v>16</v>
      </c>
      <c r="I70" s="6" t="n">
        <f aca="false">IF(H70="Heavy",0.16,0.08)</f>
        <v>0.16</v>
      </c>
      <c r="J70" s="7" t="n">
        <f aca="false">ROUND(G70*(2+I70),0)</f>
        <v>157</v>
      </c>
    </row>
    <row r="71" customFormat="false" ht="23.25" hidden="false" customHeight="true" outlineLevel="0" collapsed="false">
      <c r="A71" s="3" t="s">
        <v>246</v>
      </c>
      <c r="B71" s="3" t="s">
        <v>247</v>
      </c>
      <c r="C71" s="3" t="s">
        <v>261</v>
      </c>
      <c r="D71" s="3" t="s">
        <v>249</v>
      </c>
      <c r="E71" s="3" t="s">
        <v>262</v>
      </c>
      <c r="F71" s="3" t="s">
        <v>263</v>
      </c>
      <c r="G71" s="4" t="n">
        <v>72.86</v>
      </c>
      <c r="H71" s="5" t="s">
        <v>16</v>
      </c>
      <c r="I71" s="6" t="n">
        <f aca="false">IF(H71="Heavy",0.16,0.08)</f>
        <v>0.16</v>
      </c>
      <c r="J71" s="7" t="n">
        <f aca="false">ROUND(G71*(2+I71),0)</f>
        <v>157</v>
      </c>
    </row>
    <row r="72" customFormat="false" ht="23.25" hidden="false" customHeight="true" outlineLevel="0" collapsed="false">
      <c r="A72" s="3" t="s">
        <v>246</v>
      </c>
      <c r="B72" s="3" t="s">
        <v>247</v>
      </c>
      <c r="C72" s="3" t="s">
        <v>264</v>
      </c>
      <c r="D72" s="3" t="s">
        <v>249</v>
      </c>
      <c r="E72" s="3" t="s">
        <v>265</v>
      </c>
      <c r="F72" s="3" t="s">
        <v>266</v>
      </c>
      <c r="G72" s="4" t="n">
        <v>72.86</v>
      </c>
      <c r="H72" s="5" t="s">
        <v>16</v>
      </c>
      <c r="I72" s="6" t="n">
        <f aca="false">IF(H72="Heavy",0.16,0.08)</f>
        <v>0.16</v>
      </c>
      <c r="J72" s="7" t="n">
        <f aca="false">ROUND(G72*(2+I72),0)</f>
        <v>157</v>
      </c>
    </row>
    <row r="73" customFormat="false" ht="15" hidden="false" customHeight="true" outlineLevel="0" collapsed="false">
      <c r="A73" s="3" t="s">
        <v>246</v>
      </c>
      <c r="B73" s="3" t="s">
        <v>247</v>
      </c>
      <c r="C73" s="3" t="s">
        <v>267</v>
      </c>
      <c r="D73" s="3" t="s">
        <v>249</v>
      </c>
      <c r="E73" s="3" t="s">
        <v>268</v>
      </c>
      <c r="F73" s="3" t="s">
        <v>269</v>
      </c>
      <c r="G73" s="4" t="n">
        <v>123.93</v>
      </c>
      <c r="H73" s="5" t="s">
        <v>16</v>
      </c>
      <c r="I73" s="6" t="n">
        <f aca="false">IF(H73="Heavy",0.16,0.08)</f>
        <v>0.16</v>
      </c>
      <c r="J73" s="7" t="n">
        <f aca="false">ROUND(G73*(2+I73),0)</f>
        <v>268</v>
      </c>
    </row>
    <row r="74" customFormat="false" ht="15" hidden="false" customHeight="true" outlineLevel="0" collapsed="false">
      <c r="A74" s="3" t="s">
        <v>246</v>
      </c>
      <c r="B74" s="3" t="s">
        <v>247</v>
      </c>
      <c r="C74" s="3" t="s">
        <v>270</v>
      </c>
      <c r="D74" s="3" t="s">
        <v>249</v>
      </c>
      <c r="E74" s="3" t="s">
        <v>271</v>
      </c>
      <c r="F74" s="3" t="s">
        <v>272</v>
      </c>
      <c r="G74" s="4" t="n">
        <v>123.93</v>
      </c>
      <c r="H74" s="5" t="s">
        <v>16</v>
      </c>
      <c r="I74" s="6" t="n">
        <f aca="false">IF(H74="Heavy",0.16,0.08)</f>
        <v>0.16</v>
      </c>
      <c r="J74" s="7" t="n">
        <f aca="false">ROUND(G74*(2+I74),0)</f>
        <v>268</v>
      </c>
    </row>
    <row r="75" customFormat="false" ht="15" hidden="false" customHeight="true" outlineLevel="0" collapsed="false">
      <c r="A75" s="3" t="s">
        <v>246</v>
      </c>
      <c r="B75" s="3" t="s">
        <v>247</v>
      </c>
      <c r="C75" s="3" t="s">
        <v>273</v>
      </c>
      <c r="D75" s="3" t="s">
        <v>249</v>
      </c>
      <c r="E75" s="3" t="s">
        <v>274</v>
      </c>
      <c r="F75" s="3" t="s">
        <v>275</v>
      </c>
      <c r="G75" s="4" t="n">
        <v>123.93</v>
      </c>
      <c r="H75" s="5" t="s">
        <v>16</v>
      </c>
      <c r="I75" s="6" t="n">
        <f aca="false">IF(H75="Heavy",0.16,0.08)</f>
        <v>0.16</v>
      </c>
      <c r="J75" s="7" t="n">
        <f aca="false">ROUND(G75*(2+I75),0)</f>
        <v>268</v>
      </c>
    </row>
    <row r="76" customFormat="false" ht="15" hidden="false" customHeight="true" outlineLevel="0" collapsed="false">
      <c r="A76" s="3" t="s">
        <v>246</v>
      </c>
      <c r="B76" s="3" t="s">
        <v>247</v>
      </c>
      <c r="C76" s="3" t="s">
        <v>276</v>
      </c>
      <c r="D76" s="3" t="s">
        <v>249</v>
      </c>
      <c r="E76" s="3" t="s">
        <v>277</v>
      </c>
      <c r="F76" s="3" t="s">
        <v>278</v>
      </c>
      <c r="G76" s="4" t="n">
        <v>123.93</v>
      </c>
      <c r="H76" s="5" t="s">
        <v>16</v>
      </c>
      <c r="I76" s="6" t="n">
        <f aca="false">IF(H76="Heavy",0.16,0.08)</f>
        <v>0.16</v>
      </c>
      <c r="J76" s="7" t="n">
        <f aca="false">ROUND(G76*(2+I76),0)</f>
        <v>268</v>
      </c>
    </row>
    <row r="77" customFormat="false" ht="15" hidden="false" customHeight="true" outlineLevel="0" collapsed="false">
      <c r="A77" s="3" t="s">
        <v>246</v>
      </c>
      <c r="B77" s="3" t="s">
        <v>247</v>
      </c>
      <c r="C77" s="3" t="s">
        <v>279</v>
      </c>
      <c r="D77" s="3" t="s">
        <v>249</v>
      </c>
      <c r="E77" s="3" t="s">
        <v>280</v>
      </c>
      <c r="F77" s="3" t="s">
        <v>281</v>
      </c>
      <c r="G77" s="4" t="n">
        <v>123.93</v>
      </c>
      <c r="H77" s="5" t="s">
        <v>16</v>
      </c>
      <c r="I77" s="6" t="n">
        <f aca="false">IF(H77="Heavy",0.16,0.08)</f>
        <v>0.16</v>
      </c>
      <c r="J77" s="7" t="n">
        <f aca="false">ROUND(G77*(2+I77),0)</f>
        <v>268</v>
      </c>
    </row>
    <row r="78" customFormat="false" ht="15" hidden="false" customHeight="true" outlineLevel="0" collapsed="false">
      <c r="A78" s="3" t="s">
        <v>246</v>
      </c>
      <c r="B78" s="3" t="s">
        <v>247</v>
      </c>
      <c r="C78" s="3" t="s">
        <v>282</v>
      </c>
      <c r="D78" s="3" t="s">
        <v>249</v>
      </c>
      <c r="E78" s="3" t="s">
        <v>283</v>
      </c>
      <c r="F78" s="3" t="s">
        <v>284</v>
      </c>
      <c r="G78" s="4" t="n">
        <v>123.93</v>
      </c>
      <c r="H78" s="5" t="s">
        <v>16</v>
      </c>
      <c r="I78" s="6" t="n">
        <f aca="false">IF(H78="Heavy",0.16,0.08)</f>
        <v>0.16</v>
      </c>
      <c r="J78" s="7" t="n">
        <f aca="false">ROUND(G78*(2+I78),0)</f>
        <v>268</v>
      </c>
    </row>
    <row r="79" customFormat="false" ht="15" hidden="false" customHeight="true" outlineLevel="0" collapsed="false">
      <c r="A79" s="3" t="s">
        <v>246</v>
      </c>
      <c r="B79" s="3" t="s">
        <v>247</v>
      </c>
      <c r="C79" s="3" t="s">
        <v>285</v>
      </c>
      <c r="D79" s="3" t="s">
        <v>286</v>
      </c>
      <c r="E79" s="3" t="s">
        <v>287</v>
      </c>
      <c r="F79" s="3" t="s">
        <v>288</v>
      </c>
      <c r="G79" s="4" t="n">
        <v>48</v>
      </c>
      <c r="H79" s="5" t="s">
        <v>16</v>
      </c>
      <c r="I79" s="6" t="n">
        <f aca="false">IF(H79="Heavy",0.16,0.08)</f>
        <v>0.16</v>
      </c>
      <c r="J79" s="7" t="n">
        <f aca="false">ROUND(G79*(2+I79),0)</f>
        <v>104</v>
      </c>
    </row>
    <row r="80" customFormat="false" ht="15" hidden="false" customHeight="true" outlineLevel="0" collapsed="false">
      <c r="A80" s="3" t="s">
        <v>246</v>
      </c>
      <c r="B80" s="3" t="s">
        <v>247</v>
      </c>
      <c r="C80" s="3" t="s">
        <v>289</v>
      </c>
      <c r="D80" s="3" t="s">
        <v>286</v>
      </c>
      <c r="E80" s="3" t="s">
        <v>290</v>
      </c>
      <c r="F80" s="3" t="s">
        <v>291</v>
      </c>
      <c r="G80" s="4" t="n">
        <v>48</v>
      </c>
      <c r="H80" s="5" t="s">
        <v>16</v>
      </c>
      <c r="I80" s="6" t="n">
        <f aca="false">IF(H80="Heavy",0.16,0.08)</f>
        <v>0.16</v>
      </c>
      <c r="J80" s="7" t="n">
        <f aca="false">ROUND(G80*(2+I80),0)</f>
        <v>104</v>
      </c>
    </row>
    <row r="81" customFormat="false" ht="15" hidden="false" customHeight="true" outlineLevel="0" collapsed="false">
      <c r="A81" s="3" t="s">
        <v>246</v>
      </c>
      <c r="B81" s="3" t="s">
        <v>247</v>
      </c>
      <c r="C81" s="3" t="s">
        <v>292</v>
      </c>
      <c r="D81" s="3" t="s">
        <v>286</v>
      </c>
      <c r="E81" s="3" t="s">
        <v>293</v>
      </c>
      <c r="F81" s="3" t="s">
        <v>294</v>
      </c>
      <c r="G81" s="4" t="n">
        <v>48</v>
      </c>
      <c r="H81" s="5" t="s">
        <v>16</v>
      </c>
      <c r="I81" s="6" t="n">
        <f aca="false">IF(H81="Heavy",0.16,0.08)</f>
        <v>0.16</v>
      </c>
      <c r="J81" s="7" t="n">
        <f aca="false">ROUND(G81*(2+I81),0)</f>
        <v>104</v>
      </c>
    </row>
    <row r="82" customFormat="false" ht="15" hidden="false" customHeight="true" outlineLevel="0" collapsed="false">
      <c r="A82" s="3" t="s">
        <v>246</v>
      </c>
      <c r="B82" s="3" t="s">
        <v>247</v>
      </c>
      <c r="C82" s="3" t="s">
        <v>295</v>
      </c>
      <c r="D82" s="3" t="s">
        <v>286</v>
      </c>
      <c r="E82" s="3" t="s">
        <v>296</v>
      </c>
      <c r="F82" s="3" t="s">
        <v>297</v>
      </c>
      <c r="G82" s="4" t="n">
        <v>48</v>
      </c>
      <c r="H82" s="5" t="s">
        <v>16</v>
      </c>
      <c r="I82" s="6" t="n">
        <f aca="false">IF(H82="Heavy",0.16,0.08)</f>
        <v>0.16</v>
      </c>
      <c r="J82" s="7" t="n">
        <f aca="false">ROUND(G82*(2+I82),0)</f>
        <v>104</v>
      </c>
    </row>
    <row r="83" customFormat="false" ht="15" hidden="false" customHeight="true" outlineLevel="0" collapsed="false">
      <c r="A83" s="3" t="s">
        <v>246</v>
      </c>
      <c r="B83" s="3" t="s">
        <v>247</v>
      </c>
      <c r="C83" s="3" t="s">
        <v>298</v>
      </c>
      <c r="D83" s="3" t="s">
        <v>286</v>
      </c>
      <c r="E83" s="3" t="s">
        <v>299</v>
      </c>
      <c r="F83" s="3" t="s">
        <v>300</v>
      </c>
      <c r="G83" s="4" t="n">
        <v>48</v>
      </c>
      <c r="H83" s="5" t="s">
        <v>16</v>
      </c>
      <c r="I83" s="6" t="n">
        <f aca="false">IF(H83="Heavy",0.16,0.08)</f>
        <v>0.16</v>
      </c>
      <c r="J83" s="7" t="n">
        <f aca="false">ROUND(G83*(2+I83),0)</f>
        <v>104</v>
      </c>
    </row>
    <row r="84" customFormat="false" ht="23.25" hidden="false" customHeight="true" outlineLevel="0" collapsed="false">
      <c r="A84" s="3" t="s">
        <v>246</v>
      </c>
      <c r="B84" s="3" t="s">
        <v>247</v>
      </c>
      <c r="C84" s="3" t="s">
        <v>301</v>
      </c>
      <c r="D84" s="3" t="s">
        <v>286</v>
      </c>
      <c r="E84" s="3" t="s">
        <v>290</v>
      </c>
      <c r="F84" s="3" t="s">
        <v>302</v>
      </c>
      <c r="G84" s="4" t="n">
        <v>48</v>
      </c>
      <c r="H84" s="5" t="s">
        <v>16</v>
      </c>
      <c r="I84" s="6" t="n">
        <f aca="false">IF(H84="Heavy",0.16,0.08)</f>
        <v>0.16</v>
      </c>
      <c r="J84" s="7" t="n">
        <f aca="false">ROUND(G84*(2+I84),0)</f>
        <v>104</v>
      </c>
    </row>
    <row r="85" customFormat="false" ht="15" hidden="false" customHeight="true" outlineLevel="0" collapsed="false">
      <c r="A85" s="3" t="s">
        <v>246</v>
      </c>
      <c r="B85" s="3" t="s">
        <v>247</v>
      </c>
      <c r="C85" s="3" t="s">
        <v>303</v>
      </c>
      <c r="D85" s="3" t="s">
        <v>304</v>
      </c>
      <c r="E85" s="3" t="s">
        <v>305</v>
      </c>
      <c r="F85" s="3" t="s">
        <v>306</v>
      </c>
      <c r="G85" s="4" t="n">
        <v>48</v>
      </c>
      <c r="H85" s="5" t="s">
        <v>16</v>
      </c>
      <c r="I85" s="6" t="n">
        <f aca="false">IF(H85="Heavy",0.16,0.08)</f>
        <v>0.16</v>
      </c>
      <c r="J85" s="7" t="n">
        <f aca="false">ROUND(G85*(2+I85),0)</f>
        <v>104</v>
      </c>
    </row>
    <row r="86" customFormat="false" ht="23.25" hidden="false" customHeight="true" outlineLevel="0" collapsed="false">
      <c r="A86" s="3" t="s">
        <v>246</v>
      </c>
      <c r="B86" s="3" t="s">
        <v>247</v>
      </c>
      <c r="C86" s="3" t="s">
        <v>307</v>
      </c>
      <c r="D86" s="3" t="s">
        <v>304</v>
      </c>
      <c r="E86" s="3" t="s">
        <v>308</v>
      </c>
      <c r="F86" s="3" t="s">
        <v>309</v>
      </c>
      <c r="G86" s="4" t="n">
        <v>48</v>
      </c>
      <c r="H86" s="5" t="s">
        <v>16</v>
      </c>
      <c r="I86" s="6" t="n">
        <f aca="false">IF(H86="Heavy",0.16,0.08)</f>
        <v>0.16</v>
      </c>
      <c r="J86" s="7" t="n">
        <f aca="false">ROUND(G86*(2+I86),0)</f>
        <v>104</v>
      </c>
    </row>
    <row r="87" customFormat="false" ht="15" hidden="false" customHeight="true" outlineLevel="0" collapsed="false">
      <c r="A87" s="3" t="s">
        <v>246</v>
      </c>
      <c r="B87" s="3" t="s">
        <v>247</v>
      </c>
      <c r="C87" s="3" t="s">
        <v>310</v>
      </c>
      <c r="D87" s="3" t="s">
        <v>304</v>
      </c>
      <c r="E87" s="3" t="s">
        <v>311</v>
      </c>
      <c r="F87" s="3" t="s">
        <v>312</v>
      </c>
      <c r="G87" s="4" t="n">
        <v>48</v>
      </c>
      <c r="H87" s="5" t="s">
        <v>16</v>
      </c>
      <c r="I87" s="6" t="n">
        <f aca="false">IF(H87="Heavy",0.16,0.08)</f>
        <v>0.16</v>
      </c>
      <c r="J87" s="7" t="n">
        <f aca="false">ROUND(G87*(2+I87),0)</f>
        <v>104</v>
      </c>
    </row>
    <row r="88" customFormat="false" ht="15" hidden="false" customHeight="true" outlineLevel="0" collapsed="false">
      <c r="A88" s="3" t="s">
        <v>246</v>
      </c>
      <c r="B88" s="3" t="s">
        <v>247</v>
      </c>
      <c r="C88" s="3" t="s">
        <v>313</v>
      </c>
      <c r="D88" s="3" t="s">
        <v>314</v>
      </c>
      <c r="E88" s="3" t="s">
        <v>311</v>
      </c>
      <c r="F88" s="3" t="s">
        <v>315</v>
      </c>
      <c r="G88" s="4" t="n">
        <v>48</v>
      </c>
      <c r="H88" s="5" t="s">
        <v>16</v>
      </c>
      <c r="I88" s="6" t="n">
        <f aca="false">IF(H88="Heavy",0.16,0.08)</f>
        <v>0.16</v>
      </c>
      <c r="J88" s="7" t="n">
        <f aca="false">ROUND(G88*(2+I88),0)</f>
        <v>104</v>
      </c>
    </row>
    <row r="89" customFormat="false" ht="23.25" hidden="false" customHeight="true" outlineLevel="0" collapsed="false">
      <c r="A89" s="3" t="s">
        <v>246</v>
      </c>
      <c r="B89" s="3" t="s">
        <v>247</v>
      </c>
      <c r="C89" s="3" t="s">
        <v>316</v>
      </c>
      <c r="D89" s="3" t="s">
        <v>317</v>
      </c>
      <c r="E89" s="3" t="s">
        <v>318</v>
      </c>
      <c r="F89" s="3" t="s">
        <v>319</v>
      </c>
      <c r="G89" s="4" t="n">
        <v>48</v>
      </c>
      <c r="H89" s="5" t="s">
        <v>16</v>
      </c>
      <c r="I89" s="6" t="n">
        <f aca="false">IF(H89="Heavy",0.16,0.08)</f>
        <v>0.16</v>
      </c>
      <c r="J89" s="7" t="n">
        <f aca="false">ROUND(G89*(2+I89),0)</f>
        <v>104</v>
      </c>
    </row>
    <row r="90" customFormat="false" ht="23.25" hidden="false" customHeight="true" outlineLevel="0" collapsed="false">
      <c r="A90" s="3" t="s">
        <v>246</v>
      </c>
      <c r="B90" s="3" t="s">
        <v>247</v>
      </c>
      <c r="C90" s="3" t="s">
        <v>320</v>
      </c>
      <c r="D90" s="3" t="s">
        <v>317</v>
      </c>
      <c r="E90" s="3" t="s">
        <v>321</v>
      </c>
      <c r="F90" s="3" t="s">
        <v>322</v>
      </c>
      <c r="G90" s="4" t="n">
        <v>72.86</v>
      </c>
      <c r="H90" s="5" t="s">
        <v>16</v>
      </c>
      <c r="I90" s="6" t="n">
        <f aca="false">IF(H90="Heavy",0.16,0.08)</f>
        <v>0.16</v>
      </c>
      <c r="J90" s="7" t="n">
        <f aca="false">ROUND(G90*(2+I90),0)</f>
        <v>157</v>
      </c>
    </row>
    <row r="91" customFormat="false" ht="23.25" hidden="false" customHeight="true" outlineLevel="0" collapsed="false">
      <c r="A91" s="3" t="s">
        <v>246</v>
      </c>
      <c r="B91" s="3" t="s">
        <v>247</v>
      </c>
      <c r="C91" s="3" t="s">
        <v>323</v>
      </c>
      <c r="D91" s="3" t="s">
        <v>324</v>
      </c>
      <c r="E91" s="3" t="s">
        <v>325</v>
      </c>
      <c r="F91" s="3" t="s">
        <v>326</v>
      </c>
      <c r="G91" s="4" t="n">
        <v>98.93</v>
      </c>
      <c r="H91" s="5" t="s">
        <v>16</v>
      </c>
      <c r="I91" s="6" t="n">
        <f aca="false">IF(H91="Heavy",0.16,0.08)</f>
        <v>0.16</v>
      </c>
      <c r="J91" s="7" t="n">
        <f aca="false">ROUND(G91*(2+I91),0)</f>
        <v>214</v>
      </c>
    </row>
    <row r="92" customFormat="false" ht="23.25" hidden="false" customHeight="true" outlineLevel="0" collapsed="false">
      <c r="A92" s="3" t="s">
        <v>246</v>
      </c>
      <c r="B92" s="3" t="s">
        <v>247</v>
      </c>
      <c r="C92" s="3" t="s">
        <v>327</v>
      </c>
      <c r="D92" s="3" t="s">
        <v>328</v>
      </c>
      <c r="E92" s="3" t="s">
        <v>325</v>
      </c>
      <c r="F92" s="3" t="s">
        <v>329</v>
      </c>
      <c r="G92" s="4" t="n">
        <v>69</v>
      </c>
      <c r="H92" s="5" t="s">
        <v>16</v>
      </c>
      <c r="I92" s="6" t="n">
        <f aca="false">IF(H92="Heavy",0.16,0.08)</f>
        <v>0.16</v>
      </c>
      <c r="J92" s="7" t="n">
        <f aca="false">ROUND(G92*(2+I92),0)</f>
        <v>149</v>
      </c>
    </row>
    <row r="93" customFormat="false" ht="23.25" hidden="false" customHeight="true" outlineLevel="0" collapsed="false">
      <c r="A93" s="3" t="s">
        <v>330</v>
      </c>
      <c r="B93" s="3" t="s">
        <v>247</v>
      </c>
      <c r="C93" s="3" t="s">
        <v>331</v>
      </c>
      <c r="D93" s="3" t="s">
        <v>332</v>
      </c>
      <c r="E93" s="3" t="s">
        <v>333</v>
      </c>
      <c r="F93" s="3" t="s">
        <v>334</v>
      </c>
      <c r="G93" s="4" t="n">
        <v>67.5</v>
      </c>
      <c r="H93" s="5" t="s">
        <v>16</v>
      </c>
      <c r="I93" s="6" t="n">
        <f aca="false">IF(H93="Heavy",0.16,0.08)</f>
        <v>0.16</v>
      </c>
      <c r="J93" s="7" t="n">
        <f aca="false">ROUND(G93*(2+I93),0)</f>
        <v>146</v>
      </c>
    </row>
    <row r="94" customFormat="false" ht="23.25" hidden="false" customHeight="true" outlineLevel="0" collapsed="false">
      <c r="A94" s="3" t="s">
        <v>330</v>
      </c>
      <c r="B94" s="3" t="s">
        <v>247</v>
      </c>
      <c r="C94" s="3" t="s">
        <v>335</v>
      </c>
      <c r="D94" s="3" t="s">
        <v>332</v>
      </c>
      <c r="E94" s="3" t="s">
        <v>336</v>
      </c>
      <c r="F94" s="3" t="s">
        <v>337</v>
      </c>
      <c r="G94" s="4" t="n">
        <v>67.5</v>
      </c>
      <c r="H94" s="5" t="s">
        <v>16</v>
      </c>
      <c r="I94" s="6" t="n">
        <f aca="false">IF(H94="Heavy",0.16,0.08)</f>
        <v>0.16</v>
      </c>
      <c r="J94" s="7" t="n">
        <f aca="false">ROUND(G94*(2+I94),0)</f>
        <v>146</v>
      </c>
    </row>
    <row r="95" customFormat="false" ht="15" hidden="false" customHeight="true" outlineLevel="0" collapsed="false">
      <c r="A95" s="3" t="s">
        <v>330</v>
      </c>
      <c r="B95" s="3" t="s">
        <v>247</v>
      </c>
      <c r="C95" s="3" t="s">
        <v>338</v>
      </c>
      <c r="D95" s="3" t="s">
        <v>332</v>
      </c>
      <c r="E95" s="3" t="s">
        <v>339</v>
      </c>
      <c r="F95" s="3" t="s">
        <v>340</v>
      </c>
      <c r="G95" s="4" t="n">
        <v>67.5</v>
      </c>
      <c r="H95" s="5" t="s">
        <v>16</v>
      </c>
      <c r="I95" s="6" t="n">
        <f aca="false">IF(H95="Heavy",0.16,0.08)</f>
        <v>0.16</v>
      </c>
      <c r="J95" s="7" t="n">
        <f aca="false">ROUND(G95*(2+I95),0)</f>
        <v>146</v>
      </c>
    </row>
    <row r="96" customFormat="false" ht="23.25" hidden="false" customHeight="true" outlineLevel="0" collapsed="false">
      <c r="A96" s="3" t="s">
        <v>187</v>
      </c>
      <c r="B96" s="3" t="s">
        <v>341</v>
      </c>
      <c r="C96" s="3" t="s">
        <v>342</v>
      </c>
      <c r="D96" s="3" t="s">
        <v>343</v>
      </c>
      <c r="E96" s="3"/>
      <c r="F96" s="3" t="s">
        <v>344</v>
      </c>
      <c r="G96" s="4" t="n">
        <v>7.22</v>
      </c>
      <c r="H96" s="3" t="s">
        <v>22</v>
      </c>
      <c r="I96" s="6" t="n">
        <f aca="false">IF(H96="Heavy",0.16,0.08)</f>
        <v>0.08</v>
      </c>
      <c r="J96" s="7" t="n">
        <f aca="false">ROUND(G96*(2+I96),0)</f>
        <v>15</v>
      </c>
    </row>
    <row r="97" customFormat="false" ht="15" hidden="false" customHeight="true" outlineLevel="0" collapsed="false">
      <c r="A97" s="3" t="s">
        <v>178</v>
      </c>
      <c r="B97" s="3" t="s">
        <v>341</v>
      </c>
      <c r="C97" s="3" t="s">
        <v>345</v>
      </c>
      <c r="D97" s="3" t="s">
        <v>346</v>
      </c>
      <c r="E97" s="3" t="s">
        <v>347</v>
      </c>
      <c r="F97" s="3" t="s">
        <v>348</v>
      </c>
      <c r="G97" s="4" t="n">
        <v>6.78</v>
      </c>
      <c r="H97" s="3" t="s">
        <v>22</v>
      </c>
      <c r="I97" s="6" t="n">
        <f aca="false">IF(H97="Heavy",0.16,0.08)</f>
        <v>0.08</v>
      </c>
      <c r="J97" s="7" t="n">
        <f aca="false">ROUND(G97*(2+I97),0)</f>
        <v>14</v>
      </c>
    </row>
    <row r="98" customFormat="false" ht="15" hidden="false" customHeight="true" outlineLevel="0" collapsed="false">
      <c r="A98" s="3" t="s">
        <v>191</v>
      </c>
      <c r="B98" s="3" t="s">
        <v>341</v>
      </c>
      <c r="C98" s="3" t="s">
        <v>349</v>
      </c>
      <c r="D98" s="3" t="s">
        <v>350</v>
      </c>
      <c r="E98" s="3" t="s">
        <v>351</v>
      </c>
      <c r="F98" s="3" t="s">
        <v>352</v>
      </c>
      <c r="G98" s="4" t="n">
        <v>23.09</v>
      </c>
      <c r="H98" s="3" t="s">
        <v>22</v>
      </c>
      <c r="I98" s="6" t="n">
        <f aca="false">IF(H98="Heavy",0.16,0.08)</f>
        <v>0.08</v>
      </c>
      <c r="J98" s="7" t="n">
        <f aca="false">ROUND(G98*(2+I98),0)</f>
        <v>48</v>
      </c>
    </row>
    <row r="99" customFormat="false" ht="15" hidden="false" customHeight="true" outlineLevel="0" collapsed="false">
      <c r="A99" s="3" t="s">
        <v>353</v>
      </c>
      <c r="B99" s="3" t="s">
        <v>341</v>
      </c>
      <c r="C99" s="3" t="s">
        <v>354</v>
      </c>
      <c r="D99" s="3" t="s">
        <v>355</v>
      </c>
      <c r="E99" s="3" t="s">
        <v>356</v>
      </c>
      <c r="F99" s="3" t="s">
        <v>357</v>
      </c>
      <c r="G99" s="4" t="n">
        <v>104.49</v>
      </c>
      <c r="H99" s="5" t="s">
        <v>16</v>
      </c>
      <c r="I99" s="6" t="n">
        <f aca="false">IF(H99="Heavy",0.16,0.08)</f>
        <v>0.16</v>
      </c>
      <c r="J99" s="7" t="n">
        <f aca="false">ROUND(G99*(2+I99),0)</f>
        <v>226</v>
      </c>
    </row>
    <row r="100" customFormat="false" ht="15" hidden="false" customHeight="true" outlineLevel="0" collapsed="false">
      <c r="A100" s="3" t="s">
        <v>353</v>
      </c>
      <c r="B100" s="3" t="s">
        <v>341</v>
      </c>
      <c r="C100" s="3" t="s">
        <v>358</v>
      </c>
      <c r="D100" s="3" t="s">
        <v>355</v>
      </c>
      <c r="E100" s="3" t="s">
        <v>359</v>
      </c>
      <c r="F100" s="3" t="s">
        <v>360</v>
      </c>
      <c r="G100" s="4" t="n">
        <v>112.92</v>
      </c>
      <c r="H100" s="5" t="s">
        <v>16</v>
      </c>
      <c r="I100" s="6" t="n">
        <f aca="false">IF(H100="Heavy",0.16,0.08)</f>
        <v>0.16</v>
      </c>
      <c r="J100" s="7" t="n">
        <f aca="false">ROUND(G100*(2+I100),0)</f>
        <v>244</v>
      </c>
    </row>
    <row r="101" customFormat="false" ht="15" hidden="false" customHeight="true" outlineLevel="0" collapsed="false">
      <c r="A101" s="3" t="s">
        <v>353</v>
      </c>
      <c r="B101" s="3" t="s">
        <v>341</v>
      </c>
      <c r="C101" s="3" t="s">
        <v>361</v>
      </c>
      <c r="D101" s="3" t="s">
        <v>355</v>
      </c>
      <c r="E101" s="3" t="s">
        <v>362</v>
      </c>
      <c r="F101" s="3" t="s">
        <v>363</v>
      </c>
      <c r="G101" s="4" t="n">
        <v>103.46</v>
      </c>
      <c r="H101" s="5" t="s">
        <v>16</v>
      </c>
      <c r="I101" s="6" t="n">
        <f aca="false">IF(H101="Heavy",0.16,0.08)</f>
        <v>0.16</v>
      </c>
      <c r="J101" s="7" t="n">
        <f aca="false">ROUND(G101*(2+I101),0)</f>
        <v>223</v>
      </c>
    </row>
    <row r="102" customFormat="false" ht="15" hidden="false" customHeight="true" outlineLevel="0" collapsed="false">
      <c r="A102" s="3" t="s">
        <v>353</v>
      </c>
      <c r="B102" s="3" t="s">
        <v>341</v>
      </c>
      <c r="C102" s="3" t="s">
        <v>364</v>
      </c>
      <c r="D102" s="3" t="s">
        <v>355</v>
      </c>
      <c r="E102" s="3" t="s">
        <v>365</v>
      </c>
      <c r="F102" s="3" t="s">
        <v>366</v>
      </c>
      <c r="G102" s="4" t="n">
        <v>100.85</v>
      </c>
      <c r="H102" s="5" t="s">
        <v>16</v>
      </c>
      <c r="I102" s="6" t="n">
        <f aca="false">IF(H102="Heavy",0.16,0.08)</f>
        <v>0.16</v>
      </c>
      <c r="J102" s="7" t="n">
        <f aca="false">ROUND(G102*(2+I102),0)</f>
        <v>218</v>
      </c>
    </row>
    <row r="103" customFormat="false" ht="15" hidden="false" customHeight="true" outlineLevel="0" collapsed="false">
      <c r="A103" s="3" t="s">
        <v>353</v>
      </c>
      <c r="B103" s="3" t="s">
        <v>341</v>
      </c>
      <c r="C103" s="3" t="s">
        <v>367</v>
      </c>
      <c r="D103" s="3" t="s">
        <v>355</v>
      </c>
      <c r="E103" s="3" t="s">
        <v>368</v>
      </c>
      <c r="F103" s="3" t="s">
        <v>369</v>
      </c>
      <c r="G103" s="4" t="n">
        <v>99.54</v>
      </c>
      <c r="H103" s="5" t="s">
        <v>16</v>
      </c>
      <c r="I103" s="6" t="n">
        <f aca="false">IF(H103="Heavy",0.16,0.08)</f>
        <v>0.16</v>
      </c>
      <c r="J103" s="7" t="n">
        <f aca="false">ROUND(G103*(2+I103),0)</f>
        <v>215</v>
      </c>
    </row>
    <row r="104" customFormat="false" ht="15" hidden="false" customHeight="true" outlineLevel="0" collapsed="false">
      <c r="A104" s="3" t="s">
        <v>353</v>
      </c>
      <c r="B104" s="3" t="s">
        <v>341</v>
      </c>
      <c r="C104" s="3" t="s">
        <v>370</v>
      </c>
      <c r="D104" s="3" t="s">
        <v>355</v>
      </c>
      <c r="E104" s="3" t="s">
        <v>371</v>
      </c>
      <c r="F104" s="3" t="s">
        <v>372</v>
      </c>
      <c r="G104" s="4" t="n">
        <v>100.8</v>
      </c>
      <c r="H104" s="5" t="s">
        <v>16</v>
      </c>
      <c r="I104" s="6" t="n">
        <f aca="false">IF(H104="Heavy",0.16,0.08)</f>
        <v>0.16</v>
      </c>
      <c r="J104" s="7" t="n">
        <f aca="false">ROUND(G104*(2+I104),0)</f>
        <v>218</v>
      </c>
    </row>
    <row r="105" customFormat="false" ht="15" hidden="false" customHeight="true" outlineLevel="0" collapsed="false">
      <c r="A105" s="3" t="s">
        <v>353</v>
      </c>
      <c r="B105" s="3" t="s">
        <v>341</v>
      </c>
      <c r="C105" s="3" t="s">
        <v>373</v>
      </c>
      <c r="D105" s="3" t="s">
        <v>355</v>
      </c>
      <c r="E105" s="3" t="s">
        <v>374</v>
      </c>
      <c r="F105" s="3" t="s">
        <v>375</v>
      </c>
      <c r="G105" s="4" t="n">
        <v>122.99</v>
      </c>
      <c r="H105" s="5" t="s">
        <v>16</v>
      </c>
      <c r="I105" s="6" t="n">
        <f aca="false">IF(H105="Heavy",0.16,0.08)</f>
        <v>0.16</v>
      </c>
      <c r="J105" s="7" t="n">
        <f aca="false">ROUND(G105*(2+I105),0)</f>
        <v>266</v>
      </c>
    </row>
    <row r="106" customFormat="false" ht="15" hidden="false" customHeight="true" outlineLevel="0" collapsed="false">
      <c r="A106" s="3" t="s">
        <v>353</v>
      </c>
      <c r="B106" s="3" t="s">
        <v>341</v>
      </c>
      <c r="C106" s="3" t="s">
        <v>376</v>
      </c>
      <c r="D106" s="3" t="s">
        <v>355</v>
      </c>
      <c r="E106" s="3" t="s">
        <v>377</v>
      </c>
      <c r="F106" s="3" t="s">
        <v>378</v>
      </c>
      <c r="G106" s="4" t="n">
        <v>93.22</v>
      </c>
      <c r="H106" s="5" t="s">
        <v>16</v>
      </c>
      <c r="I106" s="6" t="n">
        <f aca="false">IF(H106="Heavy",0.16,0.08)</f>
        <v>0.16</v>
      </c>
      <c r="J106" s="7" t="n">
        <f aca="false">ROUND(G106*(2+I106),0)</f>
        <v>201</v>
      </c>
    </row>
    <row r="107" customFormat="false" ht="15" hidden="false" customHeight="true" outlineLevel="0" collapsed="false">
      <c r="A107" s="3" t="s">
        <v>111</v>
      </c>
      <c r="B107" s="3" t="s">
        <v>341</v>
      </c>
      <c r="C107" s="3" t="s">
        <v>379</v>
      </c>
      <c r="D107" s="3" t="s">
        <v>380</v>
      </c>
      <c r="E107" s="3" t="s">
        <v>347</v>
      </c>
      <c r="F107" s="3" t="s">
        <v>381</v>
      </c>
      <c r="G107" s="4" t="n">
        <v>5.68</v>
      </c>
      <c r="H107" s="3" t="s">
        <v>22</v>
      </c>
      <c r="I107" s="6" t="n">
        <f aca="false">IF(H107="Heavy",0.16,0.08)</f>
        <v>0.08</v>
      </c>
      <c r="J107" s="7" t="n">
        <f aca="false">ROUND(G107*(2+I107),0)</f>
        <v>12</v>
      </c>
    </row>
    <row r="108" customFormat="false" ht="15" hidden="false" customHeight="true" outlineLevel="0" collapsed="false">
      <c r="A108" s="3" t="s">
        <v>187</v>
      </c>
      <c r="B108" s="3" t="s">
        <v>341</v>
      </c>
      <c r="C108" s="3" t="s">
        <v>382</v>
      </c>
      <c r="D108" s="3" t="s">
        <v>383</v>
      </c>
      <c r="E108" s="3" t="s">
        <v>123</v>
      </c>
      <c r="F108" s="3" t="s">
        <v>384</v>
      </c>
      <c r="G108" s="4" t="n">
        <v>9.51</v>
      </c>
      <c r="H108" s="3" t="s">
        <v>22</v>
      </c>
      <c r="I108" s="6" t="n">
        <f aca="false">IF(H108="Heavy",0.16,0.08)</f>
        <v>0.08</v>
      </c>
      <c r="J108" s="7" t="n">
        <f aca="false">ROUND(G108*(2+I108),0)</f>
        <v>20</v>
      </c>
    </row>
    <row r="109" customFormat="false" ht="15" hidden="false" customHeight="true" outlineLevel="0" collapsed="false">
      <c r="A109" s="3" t="s">
        <v>187</v>
      </c>
      <c r="B109" s="3" t="s">
        <v>341</v>
      </c>
      <c r="C109" s="3" t="s">
        <v>385</v>
      </c>
      <c r="D109" s="3" t="s">
        <v>386</v>
      </c>
      <c r="E109" s="3" t="s">
        <v>223</v>
      </c>
      <c r="F109" s="3" t="s">
        <v>387</v>
      </c>
      <c r="G109" s="4" t="n">
        <v>6.59</v>
      </c>
      <c r="H109" s="3" t="s">
        <v>22</v>
      </c>
      <c r="I109" s="6" t="n">
        <f aca="false">IF(H109="Heavy",0.16,0.08)</f>
        <v>0.08</v>
      </c>
      <c r="J109" s="7" t="n">
        <f aca="false">ROUND(G109*(2+I109),0)</f>
        <v>14</v>
      </c>
    </row>
    <row r="110" customFormat="false" ht="15" hidden="false" customHeight="true" outlineLevel="0" collapsed="false">
      <c r="A110" s="3" t="s">
        <v>98</v>
      </c>
      <c r="B110" s="3" t="s">
        <v>341</v>
      </c>
      <c r="C110" s="3" t="s">
        <v>388</v>
      </c>
      <c r="D110" s="3" t="s">
        <v>389</v>
      </c>
      <c r="E110" s="3" t="s">
        <v>390</v>
      </c>
      <c r="F110" s="3" t="s">
        <v>391</v>
      </c>
      <c r="G110" s="4" t="n">
        <v>10.41</v>
      </c>
      <c r="H110" s="3" t="s">
        <v>22</v>
      </c>
      <c r="I110" s="6" t="n">
        <f aca="false">IF(H110="Heavy",0.16,0.08)</f>
        <v>0.08</v>
      </c>
      <c r="J110" s="7" t="n">
        <f aca="false">ROUND(G110*(2+I110),0)</f>
        <v>22</v>
      </c>
    </row>
    <row r="111" customFormat="false" ht="15" hidden="false" customHeight="true" outlineLevel="0" collapsed="false">
      <c r="A111" s="3" t="s">
        <v>392</v>
      </c>
      <c r="B111" s="3" t="s">
        <v>393</v>
      </c>
      <c r="C111" s="3" t="s">
        <v>394</v>
      </c>
      <c r="D111" s="3" t="s">
        <v>395</v>
      </c>
      <c r="E111" s="3" t="s">
        <v>396</v>
      </c>
      <c r="F111" s="3" t="s">
        <v>397</v>
      </c>
      <c r="G111" s="4" t="n">
        <v>14.63</v>
      </c>
      <c r="H111" s="3" t="s">
        <v>22</v>
      </c>
      <c r="I111" s="6" t="n">
        <f aca="false">IF(H111="Heavy",0.16,0.08)</f>
        <v>0.08</v>
      </c>
      <c r="J111" s="7" t="n">
        <f aca="false">ROUND(G111*(2+I111),0)</f>
        <v>30</v>
      </c>
    </row>
    <row r="112" customFormat="false" ht="15" hidden="false" customHeight="true" outlineLevel="0" collapsed="false">
      <c r="A112" s="3" t="s">
        <v>398</v>
      </c>
      <c r="B112" s="3" t="s">
        <v>393</v>
      </c>
      <c r="C112" s="3" t="s">
        <v>399</v>
      </c>
      <c r="D112" s="3" t="s">
        <v>400</v>
      </c>
      <c r="E112" s="3" t="s">
        <v>401</v>
      </c>
      <c r="F112" s="3" t="s">
        <v>402</v>
      </c>
      <c r="G112" s="4" t="n">
        <v>112.99</v>
      </c>
      <c r="H112" s="3" t="s">
        <v>22</v>
      </c>
      <c r="I112" s="6" t="n">
        <f aca="false">IF(H112="Heavy",0.16,0.08)</f>
        <v>0.08</v>
      </c>
      <c r="J112" s="7" t="n">
        <f aca="false">ROUND(G112*(2+I112),0)</f>
        <v>235</v>
      </c>
    </row>
    <row r="113" customFormat="false" ht="15" hidden="false" customHeight="true" outlineLevel="0" collapsed="false">
      <c r="A113" s="3" t="s">
        <v>398</v>
      </c>
      <c r="B113" s="3" t="s">
        <v>393</v>
      </c>
      <c r="C113" s="3" t="s">
        <v>403</v>
      </c>
      <c r="D113" s="3" t="s">
        <v>400</v>
      </c>
      <c r="E113" s="3" t="s">
        <v>404</v>
      </c>
      <c r="F113" s="3" t="s">
        <v>405</v>
      </c>
      <c r="G113" s="4" t="n">
        <v>122.15</v>
      </c>
      <c r="H113" s="3" t="s">
        <v>22</v>
      </c>
      <c r="I113" s="6" t="n">
        <f aca="false">IF(H113="Heavy",0.16,0.08)</f>
        <v>0.08</v>
      </c>
      <c r="J113" s="7" t="n">
        <f aca="false">ROUND(G113*(2+I113),0)</f>
        <v>254</v>
      </c>
    </row>
    <row r="114" customFormat="false" ht="15" hidden="false" customHeight="true" outlineLevel="0" collapsed="false">
      <c r="A114" s="3" t="s">
        <v>398</v>
      </c>
      <c r="B114" s="3" t="s">
        <v>393</v>
      </c>
      <c r="C114" s="3" t="s">
        <v>406</v>
      </c>
      <c r="D114" s="3" t="s">
        <v>407</v>
      </c>
      <c r="E114" s="3" t="s">
        <v>408</v>
      </c>
      <c r="F114" s="3" t="s">
        <v>409</v>
      </c>
      <c r="G114" s="4" t="n">
        <v>150.86</v>
      </c>
      <c r="H114" s="3" t="s">
        <v>22</v>
      </c>
      <c r="I114" s="6" t="n">
        <f aca="false">IF(H114="Heavy",0.16,0.08)</f>
        <v>0.08</v>
      </c>
      <c r="J114" s="7" t="n">
        <f aca="false">ROUND(G114*(2+I114),0)</f>
        <v>314</v>
      </c>
    </row>
    <row r="115" customFormat="false" ht="15" hidden="false" customHeight="true" outlineLevel="0" collapsed="false">
      <c r="A115" s="3" t="s">
        <v>398</v>
      </c>
      <c r="B115" s="3" t="s">
        <v>393</v>
      </c>
      <c r="C115" s="3" t="s">
        <v>410</v>
      </c>
      <c r="D115" s="3" t="s">
        <v>407</v>
      </c>
      <c r="E115" s="3" t="s">
        <v>408</v>
      </c>
      <c r="F115" s="3" t="s">
        <v>411</v>
      </c>
      <c r="G115" s="4" t="n">
        <v>155.75</v>
      </c>
      <c r="H115" s="3" t="s">
        <v>22</v>
      </c>
      <c r="I115" s="6" t="n">
        <f aca="false">IF(H115="Heavy",0.16,0.08)</f>
        <v>0.08</v>
      </c>
      <c r="J115" s="7" t="n">
        <f aca="false">ROUND(G115*(2+I115),0)</f>
        <v>324</v>
      </c>
    </row>
    <row r="116" customFormat="false" ht="15" hidden="false" customHeight="true" outlineLevel="0" collapsed="false">
      <c r="A116" s="3" t="s">
        <v>398</v>
      </c>
      <c r="B116" s="3" t="s">
        <v>393</v>
      </c>
      <c r="C116" s="3" t="s">
        <v>412</v>
      </c>
      <c r="D116" s="3" t="s">
        <v>413</v>
      </c>
      <c r="E116" s="3" t="s">
        <v>414</v>
      </c>
      <c r="F116" s="3" t="s">
        <v>415</v>
      </c>
      <c r="G116" s="4" t="n">
        <v>176.5</v>
      </c>
      <c r="H116" s="3" t="s">
        <v>22</v>
      </c>
      <c r="I116" s="6" t="n">
        <f aca="false">IF(H116="Heavy",0.16,0.08)</f>
        <v>0.08</v>
      </c>
      <c r="J116" s="7" t="n">
        <f aca="false">ROUND(G116*(2+I116),0)</f>
        <v>367</v>
      </c>
    </row>
    <row r="117" customFormat="false" ht="15" hidden="false" customHeight="true" outlineLevel="0" collapsed="false">
      <c r="A117" s="3" t="s">
        <v>392</v>
      </c>
      <c r="B117" s="3" t="s">
        <v>393</v>
      </c>
      <c r="C117" s="3" t="s">
        <v>416</v>
      </c>
      <c r="D117" s="3" t="s">
        <v>417</v>
      </c>
      <c r="E117" s="3" t="s">
        <v>418</v>
      </c>
      <c r="F117" s="3" t="s">
        <v>419</v>
      </c>
      <c r="G117" s="4" t="n">
        <v>4.8</v>
      </c>
      <c r="H117" s="3" t="s">
        <v>22</v>
      </c>
      <c r="I117" s="6" t="n">
        <f aca="false">IF(H117="Heavy",0.16,0.08)</f>
        <v>0.08</v>
      </c>
      <c r="J117" s="7" t="n">
        <f aca="false">ROUND(G117*(2+I117),0)</f>
        <v>10</v>
      </c>
    </row>
    <row r="118" customFormat="false" ht="15" hidden="false" customHeight="true" outlineLevel="0" collapsed="false">
      <c r="A118" s="3" t="s">
        <v>398</v>
      </c>
      <c r="B118" s="3" t="s">
        <v>393</v>
      </c>
      <c r="C118" s="3" t="s">
        <v>420</v>
      </c>
      <c r="D118" s="3" t="s">
        <v>421</v>
      </c>
      <c r="E118" s="3"/>
      <c r="F118" s="3" t="s">
        <v>422</v>
      </c>
      <c r="G118" s="4" t="n">
        <v>202.16</v>
      </c>
      <c r="H118" s="3" t="s">
        <v>22</v>
      </c>
      <c r="I118" s="6" t="n">
        <f aca="false">IF(H118="Heavy",0.16,0.08)</f>
        <v>0.08</v>
      </c>
      <c r="J118" s="7" t="n">
        <f aca="false">ROUND(G118*(2+I118),0)</f>
        <v>420</v>
      </c>
    </row>
    <row r="119" customFormat="false" ht="15" hidden="false" customHeight="true" outlineLevel="0" collapsed="false">
      <c r="A119" s="3" t="s">
        <v>398</v>
      </c>
      <c r="B119" s="3" t="s">
        <v>393</v>
      </c>
      <c r="C119" s="3" t="s">
        <v>423</v>
      </c>
      <c r="D119" s="3" t="s">
        <v>424</v>
      </c>
      <c r="E119" s="3" t="s">
        <v>425</v>
      </c>
      <c r="F119" s="3" t="s">
        <v>426</v>
      </c>
      <c r="G119" s="4" t="n">
        <v>85.5</v>
      </c>
      <c r="H119" s="3" t="s">
        <v>22</v>
      </c>
      <c r="I119" s="6" t="n">
        <f aca="false">IF(H119="Heavy",0.16,0.08)</f>
        <v>0.08</v>
      </c>
      <c r="J119" s="7" t="n">
        <f aca="false">ROUND(G119*(2+I119),0)</f>
        <v>178</v>
      </c>
    </row>
    <row r="120" customFormat="false" ht="15" hidden="false" customHeight="true" outlineLevel="0" collapsed="false">
      <c r="A120" s="3" t="s">
        <v>427</v>
      </c>
      <c r="B120" s="3" t="s">
        <v>393</v>
      </c>
      <c r="C120" s="3" t="s">
        <v>428</v>
      </c>
      <c r="D120" s="3" t="s">
        <v>429</v>
      </c>
      <c r="E120" s="3"/>
      <c r="F120" s="3" t="s">
        <v>430</v>
      </c>
      <c r="G120" s="4" t="n">
        <v>318.8</v>
      </c>
      <c r="H120" s="5" t="s">
        <v>16</v>
      </c>
      <c r="I120" s="6" t="n">
        <f aca="false">IF(H120="Heavy",0.16,0.08)</f>
        <v>0.16</v>
      </c>
      <c r="J120" s="7" t="n">
        <f aca="false">ROUND(G120*(2+I120),0)</f>
        <v>689</v>
      </c>
    </row>
    <row r="121" customFormat="false" ht="15" hidden="false" customHeight="true" outlineLevel="0" collapsed="false">
      <c r="A121" s="3" t="s">
        <v>427</v>
      </c>
      <c r="B121" s="3" t="s">
        <v>393</v>
      </c>
      <c r="C121" s="3" t="s">
        <v>431</v>
      </c>
      <c r="D121" s="3" t="s">
        <v>432</v>
      </c>
      <c r="E121" s="3" t="s">
        <v>433</v>
      </c>
      <c r="F121" s="3" t="s">
        <v>434</v>
      </c>
      <c r="G121" s="4" t="n">
        <v>457.43</v>
      </c>
      <c r="H121" s="5" t="s">
        <v>16</v>
      </c>
      <c r="I121" s="6" t="n">
        <f aca="false">IF(H121="Heavy",0.16,0.08)</f>
        <v>0.16</v>
      </c>
      <c r="J121" s="7" t="n">
        <f aca="false">ROUND(G121*(2+I121),0)</f>
        <v>988</v>
      </c>
    </row>
    <row r="122" customFormat="false" ht="15" hidden="false" customHeight="true" outlineLevel="0" collapsed="false">
      <c r="A122" s="3" t="s">
        <v>427</v>
      </c>
      <c r="B122" s="3" t="s">
        <v>393</v>
      </c>
      <c r="C122" s="3" t="s">
        <v>435</v>
      </c>
      <c r="D122" s="3" t="s">
        <v>436</v>
      </c>
      <c r="E122" s="3"/>
      <c r="F122" s="3" t="s">
        <v>437</v>
      </c>
      <c r="G122" s="4" t="n">
        <v>487.98</v>
      </c>
      <c r="H122" s="5" t="s">
        <v>16</v>
      </c>
      <c r="I122" s="6" t="n">
        <f aca="false">IF(H122="Heavy",0.16,0.08)</f>
        <v>0.16</v>
      </c>
      <c r="J122" s="7" t="n">
        <f aca="false">ROUND(G122*(2+I122),0)</f>
        <v>1054</v>
      </c>
    </row>
    <row r="123" customFormat="false" ht="15" hidden="false" customHeight="true" outlineLevel="0" collapsed="false">
      <c r="A123" s="3" t="s">
        <v>427</v>
      </c>
      <c r="B123" s="3" t="s">
        <v>393</v>
      </c>
      <c r="C123" s="3" t="s">
        <v>438</v>
      </c>
      <c r="D123" s="3" t="s">
        <v>439</v>
      </c>
      <c r="E123" s="3" t="s">
        <v>440</v>
      </c>
      <c r="F123" s="3" t="s">
        <v>441</v>
      </c>
      <c r="G123" s="4" t="n">
        <v>558.2</v>
      </c>
      <c r="H123" s="5" t="s">
        <v>16</v>
      </c>
      <c r="I123" s="6" t="n">
        <f aca="false">IF(H123="Heavy",0.16,0.08)</f>
        <v>0.16</v>
      </c>
      <c r="J123" s="7" t="n">
        <f aca="false">ROUND(G123*(2+I123),0)</f>
        <v>1206</v>
      </c>
    </row>
    <row r="124" customFormat="false" ht="15" hidden="false" customHeight="true" outlineLevel="0" collapsed="false">
      <c r="A124" s="3" t="s">
        <v>442</v>
      </c>
      <c r="B124" s="3" t="s">
        <v>393</v>
      </c>
      <c r="C124" s="3" t="s">
        <v>443</v>
      </c>
      <c r="D124" s="3" t="s">
        <v>444</v>
      </c>
      <c r="E124" s="3"/>
      <c r="F124" s="3" t="s">
        <v>445</v>
      </c>
      <c r="G124" s="4" t="n">
        <v>116.05</v>
      </c>
      <c r="H124" s="3" t="s">
        <v>22</v>
      </c>
      <c r="I124" s="6" t="n">
        <f aca="false">IF(H124="Heavy",0.16,0.08)</f>
        <v>0.08</v>
      </c>
      <c r="J124" s="7" t="n">
        <f aca="false">ROUND(G124*(2+I124),0)</f>
        <v>241</v>
      </c>
    </row>
    <row r="125" customFormat="false" ht="15" hidden="false" customHeight="true" outlineLevel="0" collapsed="false">
      <c r="A125" s="3" t="s">
        <v>442</v>
      </c>
      <c r="B125" s="3" t="s">
        <v>393</v>
      </c>
      <c r="C125" s="3" t="s">
        <v>446</v>
      </c>
      <c r="D125" s="3" t="s">
        <v>447</v>
      </c>
      <c r="E125" s="3"/>
      <c r="F125" s="3" t="s">
        <v>448</v>
      </c>
      <c r="G125" s="4" t="n">
        <v>116.05</v>
      </c>
      <c r="H125" s="3" t="s">
        <v>22</v>
      </c>
      <c r="I125" s="6" t="n">
        <f aca="false">IF(H125="Heavy",0.16,0.08)</f>
        <v>0.08</v>
      </c>
      <c r="J125" s="7" t="n">
        <f aca="false">ROUND(G125*(2+I125),0)</f>
        <v>241</v>
      </c>
    </row>
    <row r="126" customFormat="false" ht="15" hidden="false" customHeight="true" outlineLevel="0" collapsed="false">
      <c r="A126" s="3" t="s">
        <v>442</v>
      </c>
      <c r="B126" s="3" t="s">
        <v>393</v>
      </c>
      <c r="C126" s="3" t="s">
        <v>449</v>
      </c>
      <c r="D126" s="3" t="s">
        <v>450</v>
      </c>
      <c r="E126" s="3"/>
      <c r="F126" s="3" t="s">
        <v>451</v>
      </c>
      <c r="G126" s="4" t="n">
        <v>131.32</v>
      </c>
      <c r="H126" s="5" t="s">
        <v>16</v>
      </c>
      <c r="I126" s="6" t="n">
        <f aca="false">IF(H126="Heavy",0.16,0.08)</f>
        <v>0.16</v>
      </c>
      <c r="J126" s="7" t="n">
        <f aca="false">ROUND(G126*(2+I126),0)</f>
        <v>284</v>
      </c>
    </row>
    <row r="127" customFormat="false" ht="15" hidden="false" customHeight="true" outlineLevel="0" collapsed="false">
      <c r="A127" s="3" t="s">
        <v>442</v>
      </c>
      <c r="B127" s="3" t="s">
        <v>393</v>
      </c>
      <c r="C127" s="3" t="s">
        <v>452</v>
      </c>
      <c r="D127" s="3" t="s">
        <v>453</v>
      </c>
      <c r="E127" s="3"/>
      <c r="F127" s="3" t="s">
        <v>454</v>
      </c>
      <c r="G127" s="4" t="n">
        <v>131.32</v>
      </c>
      <c r="H127" s="5" t="s">
        <v>16</v>
      </c>
      <c r="I127" s="6" t="n">
        <f aca="false">IF(H127="Heavy",0.16,0.08)</f>
        <v>0.16</v>
      </c>
      <c r="J127" s="7" t="n">
        <f aca="false">ROUND(G127*(2+I127),0)</f>
        <v>284</v>
      </c>
    </row>
    <row r="128" customFormat="false" ht="15" hidden="false" customHeight="true" outlineLevel="0" collapsed="false">
      <c r="A128" s="3" t="s">
        <v>442</v>
      </c>
      <c r="B128" s="3" t="s">
        <v>393</v>
      </c>
      <c r="C128" s="3" t="s">
        <v>455</v>
      </c>
      <c r="D128" s="3" t="s">
        <v>456</v>
      </c>
      <c r="E128" s="3"/>
      <c r="F128" s="3" t="s">
        <v>457</v>
      </c>
      <c r="G128" s="4" t="n">
        <v>131.32</v>
      </c>
      <c r="H128" s="5" t="s">
        <v>16</v>
      </c>
      <c r="I128" s="6" t="n">
        <f aca="false">IF(H128="Heavy",0.16,0.08)</f>
        <v>0.16</v>
      </c>
      <c r="J128" s="7" t="n">
        <f aca="false">ROUND(G128*(2+I128),0)</f>
        <v>284</v>
      </c>
    </row>
    <row r="129" customFormat="false" ht="15" hidden="false" customHeight="true" outlineLevel="0" collapsed="false">
      <c r="A129" s="3" t="s">
        <v>442</v>
      </c>
      <c r="B129" s="3" t="s">
        <v>393</v>
      </c>
      <c r="C129" s="3" t="s">
        <v>458</v>
      </c>
      <c r="D129" s="3" t="s">
        <v>459</v>
      </c>
      <c r="E129" s="3"/>
      <c r="F129" s="3" t="s">
        <v>460</v>
      </c>
      <c r="G129" s="4" t="n">
        <v>131.32</v>
      </c>
      <c r="H129" s="5" t="s">
        <v>16</v>
      </c>
      <c r="I129" s="6" t="n">
        <f aca="false">IF(H129="Heavy",0.16,0.08)</f>
        <v>0.16</v>
      </c>
      <c r="J129" s="7" t="n">
        <f aca="false">ROUND(G129*(2+I129),0)</f>
        <v>284</v>
      </c>
    </row>
    <row r="130" customFormat="false" ht="15" hidden="false" customHeight="true" outlineLevel="0" collapsed="false">
      <c r="A130" s="3" t="s">
        <v>461</v>
      </c>
      <c r="B130" s="3" t="s">
        <v>393</v>
      </c>
      <c r="C130" s="3" t="s">
        <v>462</v>
      </c>
      <c r="D130" s="3" t="s">
        <v>463</v>
      </c>
      <c r="E130" s="3" t="s">
        <v>26</v>
      </c>
      <c r="F130" s="3" t="s">
        <v>464</v>
      </c>
      <c r="G130" s="4" t="n">
        <v>34.82</v>
      </c>
      <c r="H130" s="3" t="s">
        <v>22</v>
      </c>
      <c r="I130" s="6" t="n">
        <f aca="false">IF(H130="Heavy",0.16,0.08)</f>
        <v>0.08</v>
      </c>
      <c r="J130" s="7" t="n">
        <f aca="false">ROUND(G130*(2+I130),0)</f>
        <v>72</v>
      </c>
    </row>
    <row r="131" customFormat="false" ht="15" hidden="false" customHeight="true" outlineLevel="0" collapsed="false">
      <c r="A131" s="3" t="s">
        <v>461</v>
      </c>
      <c r="B131" s="3" t="s">
        <v>393</v>
      </c>
      <c r="C131" s="3" t="s">
        <v>465</v>
      </c>
      <c r="D131" s="3" t="s">
        <v>463</v>
      </c>
      <c r="E131" s="3" t="s">
        <v>466</v>
      </c>
      <c r="F131" s="3" t="s">
        <v>467</v>
      </c>
      <c r="G131" s="4" t="n">
        <v>34.82</v>
      </c>
      <c r="H131" s="3" t="s">
        <v>22</v>
      </c>
      <c r="I131" s="6" t="n">
        <f aca="false">IF(H131="Heavy",0.16,0.08)</f>
        <v>0.08</v>
      </c>
      <c r="J131" s="7" t="n">
        <f aca="false">ROUND(G131*(2+I131),0)</f>
        <v>72</v>
      </c>
    </row>
    <row r="132" customFormat="false" ht="23.25" hidden="false" customHeight="true" outlineLevel="0" collapsed="false">
      <c r="A132" s="3" t="s">
        <v>398</v>
      </c>
      <c r="B132" s="3" t="s">
        <v>393</v>
      </c>
      <c r="C132" s="3" t="s">
        <v>468</v>
      </c>
      <c r="D132" s="3" t="s">
        <v>469</v>
      </c>
      <c r="E132" s="3"/>
      <c r="F132" s="3" t="s">
        <v>470</v>
      </c>
      <c r="G132" s="4" t="n">
        <v>21.39</v>
      </c>
      <c r="H132" s="3" t="s">
        <v>22</v>
      </c>
      <c r="I132" s="6" t="n">
        <f aca="false">IF(H132="Heavy",0.16,0.08)</f>
        <v>0.08</v>
      </c>
      <c r="J132" s="7" t="n">
        <f aca="false">ROUND(G132*(2+I132),0)</f>
        <v>44</v>
      </c>
    </row>
    <row r="133" customFormat="false" ht="15" hidden="false" customHeight="true" outlineLevel="0" collapsed="false">
      <c r="A133" s="3" t="s">
        <v>398</v>
      </c>
      <c r="B133" s="3" t="s">
        <v>393</v>
      </c>
      <c r="C133" s="3" t="s">
        <v>471</v>
      </c>
      <c r="D133" s="3" t="s">
        <v>472</v>
      </c>
      <c r="E133" s="3"/>
      <c r="F133" s="3" t="s">
        <v>473</v>
      </c>
      <c r="G133" s="4" t="n">
        <v>119</v>
      </c>
      <c r="H133" s="3" t="s">
        <v>22</v>
      </c>
      <c r="I133" s="6" t="n">
        <f aca="false">IF(H133="Heavy",0.16,0.08)</f>
        <v>0.08</v>
      </c>
      <c r="J133" s="7" t="n">
        <f aca="false">ROUND(G133*(2+I133),0)</f>
        <v>248</v>
      </c>
    </row>
    <row r="134" customFormat="false" ht="15" hidden="false" customHeight="true" outlineLevel="0" collapsed="false">
      <c r="A134" s="3" t="s">
        <v>398</v>
      </c>
      <c r="B134" s="3" t="s">
        <v>393</v>
      </c>
      <c r="C134" s="3" t="s">
        <v>474</v>
      </c>
      <c r="D134" s="3" t="s">
        <v>472</v>
      </c>
      <c r="E134" s="3" t="s">
        <v>425</v>
      </c>
      <c r="F134" s="3" t="s">
        <v>475</v>
      </c>
      <c r="G134" s="4" t="n">
        <v>119</v>
      </c>
      <c r="H134" s="3" t="s">
        <v>22</v>
      </c>
      <c r="I134" s="6" t="n">
        <f aca="false">IF(H134="Heavy",0.16,0.08)</f>
        <v>0.08</v>
      </c>
      <c r="J134" s="7" t="n">
        <f aca="false">ROUND(G134*(2+I134),0)</f>
        <v>248</v>
      </c>
    </row>
    <row r="135" customFormat="false" ht="23.25" hidden="false" customHeight="true" outlineLevel="0" collapsed="false">
      <c r="A135" s="3" t="s">
        <v>392</v>
      </c>
      <c r="B135" s="3" t="s">
        <v>393</v>
      </c>
      <c r="C135" s="3" t="s">
        <v>476</v>
      </c>
      <c r="D135" s="3" t="s">
        <v>417</v>
      </c>
      <c r="E135" s="3" t="s">
        <v>477</v>
      </c>
      <c r="F135" s="3" t="s">
        <v>478</v>
      </c>
      <c r="G135" s="4" t="n">
        <v>0</v>
      </c>
      <c r="H135" s="3" t="s">
        <v>22</v>
      </c>
      <c r="I135" s="6" t="n">
        <f aca="false">IF(H135="Heavy",0.16,0.08)</f>
        <v>0.08</v>
      </c>
      <c r="J135" s="7" t="n">
        <f aca="false">ROUND(G135*(2+I135),0)</f>
        <v>0</v>
      </c>
    </row>
    <row r="136" customFormat="false" ht="15" hidden="false" customHeight="true" outlineLevel="0" collapsed="false">
      <c r="A136" s="3" t="s">
        <v>398</v>
      </c>
      <c r="B136" s="3" t="s">
        <v>393</v>
      </c>
      <c r="C136" s="3" t="s">
        <v>479</v>
      </c>
      <c r="D136" s="3" t="s">
        <v>480</v>
      </c>
      <c r="E136" s="3"/>
      <c r="F136" s="3" t="s">
        <v>481</v>
      </c>
      <c r="G136" s="4" t="n">
        <v>197.28</v>
      </c>
      <c r="H136" s="3" t="s">
        <v>22</v>
      </c>
      <c r="I136" s="6" t="n">
        <f aca="false">IF(H136="Heavy",0.16,0.08)</f>
        <v>0.08</v>
      </c>
      <c r="J136" s="7" t="n">
        <f aca="false">ROUND(G136*(2+I136),0)</f>
        <v>410</v>
      </c>
    </row>
    <row r="137" customFormat="false" ht="23.25" hidden="false" customHeight="true" outlineLevel="0" collapsed="false">
      <c r="A137" s="3" t="s">
        <v>398</v>
      </c>
      <c r="B137" s="3" t="s">
        <v>393</v>
      </c>
      <c r="C137" s="3" t="s">
        <v>482</v>
      </c>
      <c r="D137" s="3" t="s">
        <v>483</v>
      </c>
      <c r="E137" s="3"/>
      <c r="F137" s="3" t="s">
        <v>484</v>
      </c>
      <c r="G137" s="4" t="n">
        <v>202.16</v>
      </c>
      <c r="H137" s="3" t="s">
        <v>22</v>
      </c>
      <c r="I137" s="6" t="n">
        <f aca="false">IF(H137="Heavy",0.16,0.08)</f>
        <v>0.08</v>
      </c>
      <c r="J137" s="7" t="n">
        <f aca="false">ROUND(G137*(2+I137),0)</f>
        <v>420</v>
      </c>
    </row>
    <row r="138" customFormat="false" ht="23.25" hidden="false" customHeight="true" outlineLevel="0" collapsed="false">
      <c r="A138" s="3" t="s">
        <v>398</v>
      </c>
      <c r="B138" s="3" t="s">
        <v>393</v>
      </c>
      <c r="C138" s="3" t="s">
        <v>485</v>
      </c>
      <c r="D138" s="3" t="s">
        <v>480</v>
      </c>
      <c r="E138" s="3" t="s">
        <v>425</v>
      </c>
      <c r="F138" s="3" t="s">
        <v>486</v>
      </c>
      <c r="G138" s="4" t="n">
        <v>205.2</v>
      </c>
      <c r="H138" s="3" t="s">
        <v>22</v>
      </c>
      <c r="I138" s="6" t="n">
        <f aca="false">IF(H138="Heavy",0.16,0.08)</f>
        <v>0.08</v>
      </c>
      <c r="J138" s="7" t="n">
        <f aca="false">ROUND(G138*(2+I138),0)</f>
        <v>427</v>
      </c>
    </row>
    <row r="139" customFormat="false" ht="23.25" hidden="false" customHeight="true" outlineLevel="0" collapsed="false">
      <c r="A139" s="3" t="s">
        <v>398</v>
      </c>
      <c r="B139" s="3" t="s">
        <v>393</v>
      </c>
      <c r="C139" s="3" t="s">
        <v>487</v>
      </c>
      <c r="D139" s="3" t="s">
        <v>483</v>
      </c>
      <c r="E139" s="3" t="s">
        <v>425</v>
      </c>
      <c r="F139" s="3" t="s">
        <v>488</v>
      </c>
      <c r="G139" s="4" t="n">
        <v>202.76</v>
      </c>
      <c r="H139" s="3" t="s">
        <v>22</v>
      </c>
      <c r="I139" s="6" t="n">
        <f aca="false">IF(H139="Heavy",0.16,0.08)</f>
        <v>0.08</v>
      </c>
      <c r="J139" s="7" t="n">
        <f aca="false">ROUND(G139*(2+I139),0)</f>
        <v>422</v>
      </c>
    </row>
    <row r="140" customFormat="false" ht="15" hidden="false" customHeight="true" outlineLevel="0" collapsed="false">
      <c r="A140" s="3" t="s">
        <v>398</v>
      </c>
      <c r="B140" s="3" t="s">
        <v>393</v>
      </c>
      <c r="C140" s="3" t="s">
        <v>489</v>
      </c>
      <c r="D140" s="3" t="s">
        <v>490</v>
      </c>
      <c r="E140" s="3"/>
      <c r="F140" s="3" t="s">
        <v>491</v>
      </c>
      <c r="G140" s="4" t="n">
        <v>171</v>
      </c>
      <c r="H140" s="3" t="s">
        <v>22</v>
      </c>
      <c r="I140" s="6" t="n">
        <f aca="false">IF(H140="Heavy",0.16,0.08)</f>
        <v>0.08</v>
      </c>
      <c r="J140" s="7" t="n">
        <f aca="false">ROUND(G140*(2+I140),0)</f>
        <v>356</v>
      </c>
    </row>
    <row r="141" customFormat="false" ht="15" hidden="false" customHeight="true" outlineLevel="0" collapsed="false">
      <c r="A141" s="3" t="s">
        <v>392</v>
      </c>
      <c r="B141" s="3" t="s">
        <v>393</v>
      </c>
      <c r="C141" s="3" t="s">
        <v>492</v>
      </c>
      <c r="D141" s="3" t="s">
        <v>493</v>
      </c>
      <c r="E141" s="3" t="s">
        <v>494</v>
      </c>
      <c r="F141" s="3" t="s">
        <v>495</v>
      </c>
      <c r="G141" s="4" t="n">
        <v>11.3</v>
      </c>
      <c r="H141" s="3" t="s">
        <v>22</v>
      </c>
      <c r="I141" s="6" t="n">
        <f aca="false">IF(H141="Heavy",0.16,0.08)</f>
        <v>0.08</v>
      </c>
      <c r="J141" s="7" t="n">
        <f aca="false">ROUND(G141*(2+I141),0)</f>
        <v>24</v>
      </c>
    </row>
    <row r="142" customFormat="false" ht="15" hidden="false" customHeight="true" outlineLevel="0" collapsed="false">
      <c r="A142" s="3" t="s">
        <v>392</v>
      </c>
      <c r="B142" s="3" t="s">
        <v>393</v>
      </c>
      <c r="C142" s="3" t="s">
        <v>496</v>
      </c>
      <c r="D142" s="3" t="s">
        <v>493</v>
      </c>
      <c r="E142" s="3" t="s">
        <v>497</v>
      </c>
      <c r="F142" s="3" t="s">
        <v>498</v>
      </c>
      <c r="G142" s="4" t="n">
        <v>27.65</v>
      </c>
      <c r="H142" s="3" t="s">
        <v>22</v>
      </c>
      <c r="I142" s="6" t="n">
        <f aca="false">IF(H142="Heavy",0.16,0.08)</f>
        <v>0.08</v>
      </c>
      <c r="J142" s="7" t="n">
        <f aca="false">ROUND(G142*(2+I142),0)</f>
        <v>58</v>
      </c>
    </row>
    <row r="143" customFormat="false" ht="15" hidden="false" customHeight="true" outlineLevel="0" collapsed="false">
      <c r="A143" s="3" t="s">
        <v>392</v>
      </c>
      <c r="B143" s="3" t="s">
        <v>393</v>
      </c>
      <c r="C143" s="3" t="s">
        <v>499</v>
      </c>
      <c r="D143" s="3" t="s">
        <v>493</v>
      </c>
      <c r="E143" s="3" t="s">
        <v>500</v>
      </c>
      <c r="F143" s="3" t="s">
        <v>501</v>
      </c>
      <c r="G143" s="4" t="n">
        <v>33.54</v>
      </c>
      <c r="H143" s="3" t="s">
        <v>22</v>
      </c>
      <c r="I143" s="6" t="n">
        <f aca="false">IF(H143="Heavy",0.16,0.08)</f>
        <v>0.08</v>
      </c>
      <c r="J143" s="7" t="n">
        <f aca="false">ROUND(G143*(2+I143),0)</f>
        <v>70</v>
      </c>
    </row>
    <row r="144" customFormat="false" ht="15" hidden="false" customHeight="true" outlineLevel="0" collapsed="false">
      <c r="A144" s="3" t="s">
        <v>398</v>
      </c>
      <c r="B144" s="3" t="s">
        <v>393</v>
      </c>
      <c r="C144" s="3" t="s">
        <v>502</v>
      </c>
      <c r="D144" s="3" t="s">
        <v>503</v>
      </c>
      <c r="E144" s="3"/>
      <c r="F144" s="3" t="s">
        <v>504</v>
      </c>
      <c r="G144" s="4" t="n">
        <v>150.86</v>
      </c>
      <c r="H144" s="3" t="s">
        <v>22</v>
      </c>
      <c r="I144" s="6" t="n">
        <f aca="false">IF(H144="Heavy",0.16,0.08)</f>
        <v>0.08</v>
      </c>
      <c r="J144" s="7" t="n">
        <f aca="false">ROUND(G144*(2+I144),0)</f>
        <v>314</v>
      </c>
    </row>
    <row r="145" customFormat="false" ht="15" hidden="false" customHeight="true" outlineLevel="0" collapsed="false">
      <c r="A145" s="3" t="s">
        <v>398</v>
      </c>
      <c r="B145" s="3" t="s">
        <v>393</v>
      </c>
      <c r="C145" s="3" t="s">
        <v>505</v>
      </c>
      <c r="D145" s="3" t="s">
        <v>506</v>
      </c>
      <c r="E145" s="3"/>
      <c r="F145" s="3" t="s">
        <v>507</v>
      </c>
      <c r="G145" s="4" t="n">
        <v>64.13</v>
      </c>
      <c r="H145" s="3" t="s">
        <v>22</v>
      </c>
      <c r="I145" s="6" t="n">
        <f aca="false">IF(H145="Heavy",0.16,0.08)</f>
        <v>0.08</v>
      </c>
      <c r="J145" s="7" t="n">
        <f aca="false">ROUND(G145*(2+I145),0)</f>
        <v>133</v>
      </c>
    </row>
    <row r="146" customFormat="false" ht="15" hidden="false" customHeight="true" outlineLevel="0" collapsed="false">
      <c r="A146" s="3" t="s">
        <v>392</v>
      </c>
      <c r="B146" s="3" t="s">
        <v>393</v>
      </c>
      <c r="C146" s="3" t="s">
        <v>508</v>
      </c>
      <c r="D146" s="3" t="s">
        <v>417</v>
      </c>
      <c r="E146" s="3" t="s">
        <v>509</v>
      </c>
      <c r="F146" s="3" t="s">
        <v>510</v>
      </c>
      <c r="G146" s="4" t="n">
        <v>3.42</v>
      </c>
      <c r="H146" s="3" t="s">
        <v>22</v>
      </c>
      <c r="I146" s="6" t="n">
        <f aca="false">IF(H146="Heavy",0.16,0.08)</f>
        <v>0.08</v>
      </c>
      <c r="J146" s="7" t="n">
        <f aca="false">ROUND(G146*(2+I146),0)</f>
        <v>7</v>
      </c>
    </row>
    <row r="147" customFormat="false" ht="15" hidden="false" customHeight="true" outlineLevel="0" collapsed="false">
      <c r="A147" s="3" t="s">
        <v>187</v>
      </c>
      <c r="B147" s="3" t="s">
        <v>511</v>
      </c>
      <c r="C147" s="3" t="s">
        <v>512</v>
      </c>
      <c r="D147" s="3" t="s">
        <v>513</v>
      </c>
      <c r="E147" s="3" t="s">
        <v>514</v>
      </c>
      <c r="F147" s="3" t="s">
        <v>515</v>
      </c>
      <c r="G147" s="4" t="n">
        <v>7.18</v>
      </c>
      <c r="H147" s="3" t="s">
        <v>22</v>
      </c>
      <c r="I147" s="6" t="n">
        <f aca="false">IF(H147="Heavy",0.16,0.08)</f>
        <v>0.08</v>
      </c>
      <c r="J147" s="7" t="n">
        <f aca="false">ROUND(G147*(2+I147),0)</f>
        <v>15</v>
      </c>
    </row>
    <row r="148" customFormat="false" ht="15" hidden="false" customHeight="true" outlineLevel="0" collapsed="false">
      <c r="A148" s="3" t="s">
        <v>187</v>
      </c>
      <c r="B148" s="3" t="s">
        <v>516</v>
      </c>
      <c r="C148" s="3" t="s">
        <v>517</v>
      </c>
      <c r="D148" s="3" t="s">
        <v>215</v>
      </c>
      <c r="E148" s="3" t="s">
        <v>216</v>
      </c>
      <c r="F148" s="3" t="s">
        <v>518</v>
      </c>
      <c r="G148" s="4" t="n">
        <v>5.76</v>
      </c>
      <c r="H148" s="3" t="s">
        <v>22</v>
      </c>
      <c r="I148" s="6" t="n">
        <f aca="false">IF(H148="Heavy",0.16,0.08)</f>
        <v>0.08</v>
      </c>
      <c r="J148" s="7" t="n">
        <f aca="false">ROUND(G148*(2+I148),0)</f>
        <v>12</v>
      </c>
    </row>
    <row r="149" customFormat="false" ht="23.25" hidden="false" customHeight="true" outlineLevel="0" collapsed="false">
      <c r="A149" s="3" t="s">
        <v>187</v>
      </c>
      <c r="B149" s="3" t="s">
        <v>516</v>
      </c>
      <c r="C149" s="3" t="s">
        <v>519</v>
      </c>
      <c r="D149" s="3" t="s">
        <v>520</v>
      </c>
      <c r="E149" s="3" t="s">
        <v>216</v>
      </c>
      <c r="F149" s="3" t="s">
        <v>521</v>
      </c>
      <c r="G149" s="4" t="n">
        <v>4.92</v>
      </c>
      <c r="H149" s="3" t="s">
        <v>22</v>
      </c>
      <c r="I149" s="6" t="n">
        <f aca="false">IF(H149="Heavy",0.16,0.08)</f>
        <v>0.08</v>
      </c>
      <c r="J149" s="7" t="n">
        <f aca="false">ROUND(G149*(2+I149),0)</f>
        <v>10</v>
      </c>
    </row>
    <row r="150" customFormat="false" ht="15" hidden="false" customHeight="true" outlineLevel="0" collapsed="false">
      <c r="A150" s="3" t="s">
        <v>187</v>
      </c>
      <c r="B150" s="3" t="s">
        <v>516</v>
      </c>
      <c r="C150" s="3" t="s">
        <v>522</v>
      </c>
      <c r="D150" s="3" t="s">
        <v>523</v>
      </c>
      <c r="E150" s="3" t="s">
        <v>524</v>
      </c>
      <c r="F150" s="3" t="s">
        <v>525</v>
      </c>
      <c r="G150" s="4" t="n">
        <v>4.62</v>
      </c>
      <c r="H150" s="3" t="s">
        <v>22</v>
      </c>
      <c r="I150" s="6" t="n">
        <f aca="false">IF(H150="Heavy",0.16,0.08)</f>
        <v>0.08</v>
      </c>
      <c r="J150" s="7" t="n">
        <f aca="false">ROUND(G150*(2+I150),0)</f>
        <v>10</v>
      </c>
    </row>
    <row r="151" customFormat="false" ht="15" hidden="false" customHeight="true" outlineLevel="0" collapsed="false">
      <c r="A151" s="3" t="s">
        <v>187</v>
      </c>
      <c r="B151" s="3" t="s">
        <v>516</v>
      </c>
      <c r="C151" s="3" t="s">
        <v>526</v>
      </c>
      <c r="D151" s="3" t="s">
        <v>523</v>
      </c>
      <c r="E151" s="3" t="s">
        <v>223</v>
      </c>
      <c r="F151" s="3" t="s">
        <v>527</v>
      </c>
      <c r="G151" s="4" t="n">
        <v>6.46</v>
      </c>
      <c r="H151" s="3" t="s">
        <v>22</v>
      </c>
      <c r="I151" s="6" t="n">
        <f aca="false">IF(H151="Heavy",0.16,0.08)</f>
        <v>0.08</v>
      </c>
      <c r="J151" s="7" t="n">
        <f aca="false">ROUND(G151*(2+I151),0)</f>
        <v>13</v>
      </c>
    </row>
    <row r="152" customFormat="false" ht="15" hidden="false" customHeight="true" outlineLevel="0" collapsed="false">
      <c r="A152" s="3" t="s">
        <v>187</v>
      </c>
      <c r="B152" s="3" t="s">
        <v>516</v>
      </c>
      <c r="C152" s="3" t="s">
        <v>528</v>
      </c>
      <c r="D152" s="3" t="s">
        <v>529</v>
      </c>
      <c r="E152" s="3" t="s">
        <v>216</v>
      </c>
      <c r="F152" s="3" t="s">
        <v>530</v>
      </c>
      <c r="G152" s="4" t="n">
        <v>4.76</v>
      </c>
      <c r="H152" s="3" t="s">
        <v>22</v>
      </c>
      <c r="I152" s="6" t="n">
        <f aca="false">IF(H152="Heavy",0.16,0.08)</f>
        <v>0.08</v>
      </c>
      <c r="J152" s="7" t="n">
        <f aca="false">ROUND(G152*(2+I152),0)</f>
        <v>10</v>
      </c>
    </row>
    <row r="153" customFormat="false" ht="23.25" hidden="false" customHeight="true" outlineLevel="0" collapsed="false">
      <c r="A153" s="3" t="s">
        <v>149</v>
      </c>
      <c r="B153" s="3" t="s">
        <v>516</v>
      </c>
      <c r="C153" s="3" t="s">
        <v>531</v>
      </c>
      <c r="D153" s="3" t="s">
        <v>532</v>
      </c>
      <c r="E153" s="3" t="s">
        <v>533</v>
      </c>
      <c r="F153" s="3" t="s">
        <v>534</v>
      </c>
      <c r="G153" s="4" t="n">
        <v>12.86</v>
      </c>
      <c r="H153" s="3" t="s">
        <v>22</v>
      </c>
      <c r="I153" s="6" t="n">
        <f aca="false">IF(H153="Heavy",0.16,0.08)</f>
        <v>0.08</v>
      </c>
      <c r="J153" s="7" t="n">
        <f aca="false">ROUND(G153*(2+I153),0)</f>
        <v>27</v>
      </c>
    </row>
    <row r="154" customFormat="false" ht="15" hidden="false" customHeight="true" outlineLevel="0" collapsed="false">
      <c r="A154" s="3" t="s">
        <v>149</v>
      </c>
      <c r="B154" s="3" t="s">
        <v>516</v>
      </c>
      <c r="C154" s="3" t="s">
        <v>535</v>
      </c>
      <c r="D154" s="3" t="s">
        <v>536</v>
      </c>
      <c r="E154" s="3"/>
      <c r="F154" s="3" t="s">
        <v>537</v>
      </c>
      <c r="G154" s="4" t="n">
        <v>21.48</v>
      </c>
      <c r="H154" s="3" t="s">
        <v>22</v>
      </c>
      <c r="I154" s="6" t="n">
        <f aca="false">IF(H154="Heavy",0.16,0.08)</f>
        <v>0.08</v>
      </c>
      <c r="J154" s="7" t="n">
        <f aca="false">ROUND(G154*(2+I154),0)</f>
        <v>45</v>
      </c>
    </row>
    <row r="155" customFormat="false" ht="23.25" hidden="false" customHeight="true" outlineLevel="0" collapsed="false">
      <c r="A155" s="3" t="s">
        <v>149</v>
      </c>
      <c r="B155" s="3" t="s">
        <v>516</v>
      </c>
      <c r="C155" s="3" t="s">
        <v>538</v>
      </c>
      <c r="D155" s="3" t="s">
        <v>532</v>
      </c>
      <c r="E155" s="3" t="s">
        <v>539</v>
      </c>
      <c r="F155" s="3" t="s">
        <v>540</v>
      </c>
      <c r="G155" s="4" t="n">
        <v>12.86</v>
      </c>
      <c r="H155" s="3" t="s">
        <v>22</v>
      </c>
      <c r="I155" s="6" t="n">
        <f aca="false">IF(H155="Heavy",0.16,0.08)</f>
        <v>0.08</v>
      </c>
      <c r="J155" s="7" t="n">
        <f aca="false">ROUND(G155*(2+I155),0)</f>
        <v>27</v>
      </c>
    </row>
    <row r="156" customFormat="false" ht="23.25" hidden="false" customHeight="true" outlineLevel="0" collapsed="false">
      <c r="A156" s="3" t="s">
        <v>149</v>
      </c>
      <c r="B156" s="3" t="s">
        <v>516</v>
      </c>
      <c r="C156" s="3" t="s">
        <v>541</v>
      </c>
      <c r="D156" s="3" t="s">
        <v>532</v>
      </c>
      <c r="E156" s="3" t="s">
        <v>542</v>
      </c>
      <c r="F156" s="3" t="s">
        <v>543</v>
      </c>
      <c r="G156" s="4" t="n">
        <v>14.03</v>
      </c>
      <c r="H156" s="3" t="s">
        <v>22</v>
      </c>
      <c r="I156" s="6" t="n">
        <f aca="false">IF(H156="Heavy",0.16,0.08)</f>
        <v>0.08</v>
      </c>
      <c r="J156" s="7" t="n">
        <f aca="false">ROUND(G156*(2+I156),0)</f>
        <v>29</v>
      </c>
    </row>
    <row r="157" customFormat="false" ht="23.25" hidden="false" customHeight="true" outlineLevel="0" collapsed="false">
      <c r="A157" s="3" t="s">
        <v>544</v>
      </c>
      <c r="B157" s="3" t="s">
        <v>516</v>
      </c>
      <c r="C157" s="3" t="s">
        <v>545</v>
      </c>
      <c r="D157" s="3" t="s">
        <v>546</v>
      </c>
      <c r="E157" s="3" t="s">
        <v>547</v>
      </c>
      <c r="F157" s="3" t="s">
        <v>548</v>
      </c>
      <c r="G157" s="4" t="n">
        <v>8.03</v>
      </c>
      <c r="H157" s="3" t="s">
        <v>22</v>
      </c>
      <c r="I157" s="6" t="n">
        <f aca="false">IF(H157="Heavy",0.16,0.08)</f>
        <v>0.08</v>
      </c>
      <c r="J157" s="7" t="n">
        <f aca="false">ROUND(G157*(2+I157),0)</f>
        <v>17</v>
      </c>
    </row>
    <row r="158" customFormat="false" ht="23.25" hidden="false" customHeight="true" outlineLevel="0" collapsed="false">
      <c r="A158" s="3" t="s">
        <v>549</v>
      </c>
      <c r="B158" s="3" t="s">
        <v>516</v>
      </c>
      <c r="C158" s="3" t="s">
        <v>550</v>
      </c>
      <c r="D158" s="3" t="s">
        <v>551</v>
      </c>
      <c r="E158" s="3" t="s">
        <v>552</v>
      </c>
      <c r="F158" s="3" t="s">
        <v>553</v>
      </c>
      <c r="G158" s="4" t="n">
        <v>10.18</v>
      </c>
      <c r="H158" s="3" t="s">
        <v>22</v>
      </c>
      <c r="I158" s="6" t="n">
        <f aca="false">IF(H158="Heavy",0.16,0.08)</f>
        <v>0.08</v>
      </c>
      <c r="J158" s="7" t="n">
        <f aca="false">ROUND(G158*(2+I158),0)</f>
        <v>21</v>
      </c>
    </row>
    <row r="159" customFormat="false" ht="15" hidden="false" customHeight="true" outlineLevel="0" collapsed="false">
      <c r="A159" s="3" t="s">
        <v>549</v>
      </c>
      <c r="B159" s="3" t="s">
        <v>516</v>
      </c>
      <c r="C159" s="3" t="s">
        <v>554</v>
      </c>
      <c r="D159" s="3" t="s">
        <v>551</v>
      </c>
      <c r="E159" s="3" t="s">
        <v>555</v>
      </c>
      <c r="F159" s="3" t="s">
        <v>556</v>
      </c>
      <c r="G159" s="4" t="n">
        <v>12.7</v>
      </c>
      <c r="H159" s="3" t="s">
        <v>22</v>
      </c>
      <c r="I159" s="6" t="n">
        <f aca="false">IF(H159="Heavy",0.16,0.08)</f>
        <v>0.08</v>
      </c>
      <c r="J159" s="7" t="n">
        <f aca="false">ROUND(G159*(2+I159),0)</f>
        <v>26</v>
      </c>
    </row>
    <row r="160" customFormat="false" ht="15" hidden="false" customHeight="true" outlineLevel="0" collapsed="false">
      <c r="A160" s="3" t="s">
        <v>549</v>
      </c>
      <c r="B160" s="3" t="s">
        <v>516</v>
      </c>
      <c r="C160" s="3" t="s">
        <v>557</v>
      </c>
      <c r="D160" s="3" t="s">
        <v>558</v>
      </c>
      <c r="E160" s="3" t="s">
        <v>559</v>
      </c>
      <c r="F160" s="3" t="s">
        <v>560</v>
      </c>
      <c r="G160" s="4" t="n">
        <v>12.7</v>
      </c>
      <c r="H160" s="3" t="s">
        <v>22</v>
      </c>
      <c r="I160" s="6" t="n">
        <f aca="false">IF(H160="Heavy",0.16,0.08)</f>
        <v>0.08</v>
      </c>
      <c r="J160" s="7" t="n">
        <f aca="false">ROUND(G160*(2+I160),0)</f>
        <v>26</v>
      </c>
    </row>
    <row r="161" customFormat="false" ht="15" hidden="false" customHeight="true" outlineLevel="0" collapsed="false">
      <c r="A161" s="3" t="s">
        <v>549</v>
      </c>
      <c r="B161" s="3" t="s">
        <v>516</v>
      </c>
      <c r="C161" s="3" t="s">
        <v>561</v>
      </c>
      <c r="D161" s="3" t="s">
        <v>562</v>
      </c>
      <c r="E161" s="3" t="s">
        <v>563</v>
      </c>
      <c r="F161" s="3" t="s">
        <v>564</v>
      </c>
      <c r="G161" s="4" t="n">
        <v>12.7</v>
      </c>
      <c r="H161" s="3" t="s">
        <v>22</v>
      </c>
      <c r="I161" s="6" t="n">
        <f aca="false">IF(H161="Heavy",0.16,0.08)</f>
        <v>0.08</v>
      </c>
      <c r="J161" s="7" t="n">
        <f aca="false">ROUND(G161*(2+I161),0)</f>
        <v>26</v>
      </c>
    </row>
    <row r="162" customFormat="false" ht="15" hidden="false" customHeight="true" outlineLevel="0" collapsed="false">
      <c r="A162" s="3" t="s">
        <v>549</v>
      </c>
      <c r="B162" s="3" t="s">
        <v>516</v>
      </c>
      <c r="C162" s="3" t="s">
        <v>565</v>
      </c>
      <c r="D162" s="3" t="s">
        <v>566</v>
      </c>
      <c r="E162" s="3" t="s">
        <v>567</v>
      </c>
      <c r="F162" s="3" t="s">
        <v>568</v>
      </c>
      <c r="G162" s="4" t="n">
        <v>12.7</v>
      </c>
      <c r="H162" s="3" t="s">
        <v>22</v>
      </c>
      <c r="I162" s="6" t="n">
        <f aca="false">IF(H162="Heavy",0.16,0.08)</f>
        <v>0.08</v>
      </c>
      <c r="J162" s="7" t="n">
        <f aca="false">ROUND(G162*(2+I162),0)</f>
        <v>26</v>
      </c>
    </row>
    <row r="163" customFormat="false" ht="15" hidden="false" customHeight="true" outlineLevel="0" collapsed="false">
      <c r="A163" s="3" t="s">
        <v>549</v>
      </c>
      <c r="B163" s="3" t="s">
        <v>516</v>
      </c>
      <c r="C163" s="3" t="s">
        <v>569</v>
      </c>
      <c r="D163" s="3" t="s">
        <v>551</v>
      </c>
      <c r="E163" s="3" t="s">
        <v>570</v>
      </c>
      <c r="F163" s="3" t="s">
        <v>571</v>
      </c>
      <c r="G163" s="4" t="n">
        <v>12.7</v>
      </c>
      <c r="H163" s="3" t="s">
        <v>22</v>
      </c>
      <c r="I163" s="6" t="n">
        <f aca="false">IF(H163="Heavy",0.16,0.08)</f>
        <v>0.08</v>
      </c>
      <c r="J163" s="7" t="n">
        <f aca="false">ROUND(G163*(2+I163),0)</f>
        <v>26</v>
      </c>
    </row>
    <row r="164" customFormat="false" ht="15" hidden="false" customHeight="true" outlineLevel="0" collapsed="false">
      <c r="A164" s="3" t="s">
        <v>549</v>
      </c>
      <c r="B164" s="3" t="s">
        <v>516</v>
      </c>
      <c r="C164" s="3" t="s">
        <v>572</v>
      </c>
      <c r="D164" s="3" t="s">
        <v>573</v>
      </c>
      <c r="E164" s="3" t="s">
        <v>574</v>
      </c>
      <c r="F164" s="3" t="s">
        <v>575</v>
      </c>
      <c r="G164" s="4" t="n">
        <v>10.18</v>
      </c>
      <c r="H164" s="3" t="s">
        <v>22</v>
      </c>
      <c r="I164" s="6" t="n">
        <f aca="false">IF(H164="Heavy",0.16,0.08)</f>
        <v>0.08</v>
      </c>
      <c r="J164" s="7" t="n">
        <f aca="false">ROUND(G164*(2+I164),0)</f>
        <v>21</v>
      </c>
    </row>
    <row r="165" customFormat="false" ht="15" hidden="false" customHeight="true" outlineLevel="0" collapsed="false">
      <c r="A165" s="3" t="s">
        <v>549</v>
      </c>
      <c r="B165" s="3" t="s">
        <v>516</v>
      </c>
      <c r="C165" s="3" t="s">
        <v>576</v>
      </c>
      <c r="D165" s="3" t="s">
        <v>577</v>
      </c>
      <c r="E165" s="3" t="s">
        <v>47</v>
      </c>
      <c r="F165" s="3" t="s">
        <v>578</v>
      </c>
      <c r="G165" s="4" t="n">
        <v>11.32</v>
      </c>
      <c r="H165" s="3" t="s">
        <v>22</v>
      </c>
      <c r="I165" s="6" t="n">
        <f aca="false">IF(H165="Heavy",0.16,0.08)</f>
        <v>0.08</v>
      </c>
      <c r="J165" s="7" t="n">
        <f aca="false">ROUND(G165*(2+I165),0)</f>
        <v>24</v>
      </c>
    </row>
    <row r="166" customFormat="false" ht="15" hidden="false" customHeight="true" outlineLevel="0" collapsed="false">
      <c r="A166" s="3" t="s">
        <v>549</v>
      </c>
      <c r="B166" s="3" t="s">
        <v>516</v>
      </c>
      <c r="C166" s="3" t="s">
        <v>579</v>
      </c>
      <c r="D166" s="3" t="s">
        <v>551</v>
      </c>
      <c r="E166" s="3" t="s">
        <v>580</v>
      </c>
      <c r="F166" s="3" t="s">
        <v>581</v>
      </c>
      <c r="G166" s="4" t="n">
        <v>12.7</v>
      </c>
      <c r="H166" s="3" t="s">
        <v>22</v>
      </c>
      <c r="I166" s="6" t="n">
        <f aca="false">IF(H166="Heavy",0.16,0.08)</f>
        <v>0.08</v>
      </c>
      <c r="J166" s="7" t="n">
        <f aca="false">ROUND(G166*(2+I166),0)</f>
        <v>26</v>
      </c>
    </row>
    <row r="167" customFormat="false" ht="15" hidden="false" customHeight="true" outlineLevel="0" collapsed="false">
      <c r="A167" s="3" t="s">
        <v>549</v>
      </c>
      <c r="B167" s="3" t="s">
        <v>516</v>
      </c>
      <c r="C167" s="3" t="s">
        <v>582</v>
      </c>
      <c r="D167" s="3" t="s">
        <v>551</v>
      </c>
      <c r="E167" s="3" t="s">
        <v>583</v>
      </c>
      <c r="F167" s="3" t="s">
        <v>584</v>
      </c>
      <c r="G167" s="4" t="n">
        <v>12.7</v>
      </c>
      <c r="H167" s="3" t="s">
        <v>22</v>
      </c>
      <c r="I167" s="6" t="n">
        <f aca="false">IF(H167="Heavy",0.16,0.08)</f>
        <v>0.08</v>
      </c>
      <c r="J167" s="7" t="n">
        <f aca="false">ROUND(G167*(2+I167),0)</f>
        <v>26</v>
      </c>
    </row>
    <row r="168" customFormat="false" ht="15" hidden="false" customHeight="true" outlineLevel="0" collapsed="false">
      <c r="A168" s="3" t="s">
        <v>549</v>
      </c>
      <c r="B168" s="3" t="s">
        <v>516</v>
      </c>
      <c r="C168" s="3" t="s">
        <v>585</v>
      </c>
      <c r="D168" s="3" t="s">
        <v>551</v>
      </c>
      <c r="E168" s="3" t="s">
        <v>586</v>
      </c>
      <c r="F168" s="3" t="s">
        <v>587</v>
      </c>
      <c r="G168" s="4" t="n">
        <v>12.7</v>
      </c>
      <c r="H168" s="3" t="s">
        <v>22</v>
      </c>
      <c r="I168" s="6" t="n">
        <f aca="false">IF(H168="Heavy",0.16,0.08)</f>
        <v>0.08</v>
      </c>
      <c r="J168" s="7" t="n">
        <f aca="false">ROUND(G168*(2+I168),0)</f>
        <v>26</v>
      </c>
    </row>
    <row r="169" customFormat="false" ht="15" hidden="false" customHeight="true" outlineLevel="0" collapsed="false">
      <c r="A169" s="3" t="s">
        <v>549</v>
      </c>
      <c r="B169" s="3" t="s">
        <v>516</v>
      </c>
      <c r="C169" s="3" t="s">
        <v>588</v>
      </c>
      <c r="D169" s="3" t="s">
        <v>551</v>
      </c>
      <c r="E169" s="3" t="s">
        <v>589</v>
      </c>
      <c r="F169" s="3" t="s">
        <v>590</v>
      </c>
      <c r="G169" s="4" t="n">
        <v>12.7</v>
      </c>
      <c r="H169" s="3" t="s">
        <v>22</v>
      </c>
      <c r="I169" s="6" t="n">
        <f aca="false">IF(H169="Heavy",0.16,0.08)</f>
        <v>0.08</v>
      </c>
      <c r="J169" s="7" t="n">
        <f aca="false">ROUND(G169*(2+I169),0)</f>
        <v>26</v>
      </c>
    </row>
    <row r="170" customFormat="false" ht="15" hidden="false" customHeight="true" outlineLevel="0" collapsed="false">
      <c r="A170" s="3" t="s">
        <v>549</v>
      </c>
      <c r="B170" s="3" t="s">
        <v>516</v>
      </c>
      <c r="C170" s="3" t="s">
        <v>591</v>
      </c>
      <c r="D170" s="3" t="s">
        <v>551</v>
      </c>
      <c r="E170" s="3" t="s">
        <v>592</v>
      </c>
      <c r="F170" s="3" t="s">
        <v>593</v>
      </c>
      <c r="G170" s="4" t="n">
        <v>12.7</v>
      </c>
      <c r="H170" s="3" t="s">
        <v>22</v>
      </c>
      <c r="I170" s="6" t="n">
        <f aca="false">IF(H170="Heavy",0.16,0.08)</f>
        <v>0.08</v>
      </c>
      <c r="J170" s="7" t="n">
        <f aca="false">ROUND(G170*(2+I170),0)</f>
        <v>26</v>
      </c>
    </row>
    <row r="171" customFormat="false" ht="15" hidden="false" customHeight="true" outlineLevel="0" collapsed="false">
      <c r="A171" s="3" t="s">
        <v>549</v>
      </c>
      <c r="B171" s="3" t="s">
        <v>516</v>
      </c>
      <c r="C171" s="3" t="s">
        <v>594</v>
      </c>
      <c r="D171" s="3" t="s">
        <v>551</v>
      </c>
      <c r="E171" s="3" t="s">
        <v>595</v>
      </c>
      <c r="F171" s="3" t="s">
        <v>596</v>
      </c>
      <c r="G171" s="4" t="n">
        <v>12.7</v>
      </c>
      <c r="H171" s="3" t="s">
        <v>22</v>
      </c>
      <c r="I171" s="6" t="n">
        <f aca="false">IF(H171="Heavy",0.16,0.08)</f>
        <v>0.08</v>
      </c>
      <c r="J171" s="7" t="n">
        <f aca="false">ROUND(G171*(2+I171),0)</f>
        <v>26</v>
      </c>
    </row>
    <row r="172" customFormat="false" ht="15" hidden="false" customHeight="true" outlineLevel="0" collapsed="false">
      <c r="A172" s="3" t="s">
        <v>549</v>
      </c>
      <c r="B172" s="3" t="s">
        <v>516</v>
      </c>
      <c r="C172" s="3" t="s">
        <v>597</v>
      </c>
      <c r="D172" s="3" t="s">
        <v>551</v>
      </c>
      <c r="E172" s="3" t="s">
        <v>598</v>
      </c>
      <c r="F172" s="3" t="s">
        <v>599</v>
      </c>
      <c r="G172" s="4" t="n">
        <v>12.7</v>
      </c>
      <c r="H172" s="3" t="s">
        <v>22</v>
      </c>
      <c r="I172" s="6" t="n">
        <f aca="false">IF(H172="Heavy",0.16,0.08)</f>
        <v>0.08</v>
      </c>
      <c r="J172" s="7" t="n">
        <f aca="false">ROUND(G172*(2+I172),0)</f>
        <v>26</v>
      </c>
    </row>
    <row r="173" customFormat="false" ht="23.25" hidden="false" customHeight="true" outlineLevel="0" collapsed="false">
      <c r="A173" s="3" t="s">
        <v>549</v>
      </c>
      <c r="B173" s="3" t="s">
        <v>516</v>
      </c>
      <c r="C173" s="3" t="s">
        <v>600</v>
      </c>
      <c r="D173" s="3" t="s">
        <v>551</v>
      </c>
      <c r="E173" s="3" t="s">
        <v>601</v>
      </c>
      <c r="F173" s="3" t="s">
        <v>602</v>
      </c>
      <c r="G173" s="4" t="n">
        <v>12.7</v>
      </c>
      <c r="H173" s="3" t="s">
        <v>22</v>
      </c>
      <c r="I173" s="6" t="n">
        <f aca="false">IF(H173="Heavy",0.16,0.08)</f>
        <v>0.08</v>
      </c>
      <c r="J173" s="7" t="n">
        <f aca="false">ROUND(G173*(2+I173),0)</f>
        <v>26</v>
      </c>
    </row>
    <row r="174" customFormat="false" ht="15" hidden="false" customHeight="true" outlineLevel="0" collapsed="false">
      <c r="A174" s="3" t="s">
        <v>549</v>
      </c>
      <c r="B174" s="3" t="s">
        <v>516</v>
      </c>
      <c r="C174" s="3" t="s">
        <v>603</v>
      </c>
      <c r="D174" s="3" t="s">
        <v>551</v>
      </c>
      <c r="E174" s="3" t="s">
        <v>604</v>
      </c>
      <c r="F174" s="3" t="s">
        <v>605</v>
      </c>
      <c r="G174" s="4" t="n">
        <v>12.7</v>
      </c>
      <c r="H174" s="3" t="s">
        <v>22</v>
      </c>
      <c r="I174" s="6" t="n">
        <f aca="false">IF(H174="Heavy",0.16,0.08)</f>
        <v>0.08</v>
      </c>
      <c r="J174" s="7" t="n">
        <f aca="false">ROUND(G174*(2+I174),0)</f>
        <v>26</v>
      </c>
    </row>
    <row r="175" customFormat="false" ht="15" hidden="false" customHeight="true" outlineLevel="0" collapsed="false">
      <c r="A175" s="3" t="s">
        <v>549</v>
      </c>
      <c r="B175" s="3" t="s">
        <v>516</v>
      </c>
      <c r="C175" s="3" t="s">
        <v>606</v>
      </c>
      <c r="D175" s="3" t="s">
        <v>551</v>
      </c>
      <c r="E175" s="3" t="s">
        <v>607</v>
      </c>
      <c r="F175" s="3" t="s">
        <v>608</v>
      </c>
      <c r="G175" s="4" t="n">
        <v>12.7</v>
      </c>
      <c r="H175" s="3" t="s">
        <v>22</v>
      </c>
      <c r="I175" s="6" t="n">
        <f aca="false">IF(H175="Heavy",0.16,0.08)</f>
        <v>0.08</v>
      </c>
      <c r="J175" s="7" t="n">
        <f aca="false">ROUND(G175*(2+I175),0)</f>
        <v>26</v>
      </c>
    </row>
    <row r="176" customFormat="false" ht="15" hidden="false" customHeight="true" outlineLevel="0" collapsed="false">
      <c r="A176" s="3" t="s">
        <v>549</v>
      </c>
      <c r="B176" s="3" t="s">
        <v>516</v>
      </c>
      <c r="C176" s="3" t="s">
        <v>609</v>
      </c>
      <c r="D176" s="3" t="s">
        <v>551</v>
      </c>
      <c r="E176" s="3" t="s">
        <v>610</v>
      </c>
      <c r="F176" s="3" t="s">
        <v>611</v>
      </c>
      <c r="G176" s="4" t="n">
        <v>12.7</v>
      </c>
      <c r="H176" s="3" t="s">
        <v>22</v>
      </c>
      <c r="I176" s="6" t="n">
        <f aca="false">IF(H176="Heavy",0.16,0.08)</f>
        <v>0.08</v>
      </c>
      <c r="J176" s="7" t="n">
        <f aca="false">ROUND(G176*(2+I176),0)</f>
        <v>26</v>
      </c>
    </row>
    <row r="177" customFormat="false" ht="15" hidden="false" customHeight="true" outlineLevel="0" collapsed="false">
      <c r="A177" s="3" t="s">
        <v>549</v>
      </c>
      <c r="B177" s="3" t="s">
        <v>516</v>
      </c>
      <c r="C177" s="3" t="s">
        <v>612</v>
      </c>
      <c r="D177" s="3" t="s">
        <v>551</v>
      </c>
      <c r="E177" s="3" t="s">
        <v>613</v>
      </c>
      <c r="F177" s="3" t="s">
        <v>614</v>
      </c>
      <c r="G177" s="4" t="n">
        <v>12.7</v>
      </c>
      <c r="H177" s="3" t="s">
        <v>22</v>
      </c>
      <c r="I177" s="6" t="n">
        <f aca="false">IF(H177="Heavy",0.16,0.08)</f>
        <v>0.08</v>
      </c>
      <c r="J177" s="7" t="n">
        <f aca="false">ROUND(G177*(2+I177),0)</f>
        <v>26</v>
      </c>
    </row>
    <row r="178" customFormat="false" ht="15" hidden="false" customHeight="true" outlineLevel="0" collapsed="false">
      <c r="A178" s="3" t="s">
        <v>549</v>
      </c>
      <c r="B178" s="3" t="s">
        <v>516</v>
      </c>
      <c r="C178" s="3" t="s">
        <v>615</v>
      </c>
      <c r="D178" s="3" t="s">
        <v>551</v>
      </c>
      <c r="E178" s="3" t="s">
        <v>616</v>
      </c>
      <c r="F178" s="3" t="s">
        <v>617</v>
      </c>
      <c r="G178" s="4" t="n">
        <v>12.7</v>
      </c>
      <c r="H178" s="3" t="s">
        <v>22</v>
      </c>
      <c r="I178" s="6" t="n">
        <f aca="false">IF(H178="Heavy",0.16,0.08)</f>
        <v>0.08</v>
      </c>
      <c r="J178" s="7" t="n">
        <f aca="false">ROUND(G178*(2+I178),0)</f>
        <v>26</v>
      </c>
    </row>
    <row r="179" customFormat="false" ht="15" hidden="false" customHeight="true" outlineLevel="0" collapsed="false">
      <c r="A179" s="3" t="s">
        <v>549</v>
      </c>
      <c r="B179" s="3" t="s">
        <v>516</v>
      </c>
      <c r="C179" s="3" t="s">
        <v>618</v>
      </c>
      <c r="D179" s="3" t="s">
        <v>551</v>
      </c>
      <c r="E179" s="3" t="s">
        <v>619</v>
      </c>
      <c r="F179" s="3" t="s">
        <v>620</v>
      </c>
      <c r="G179" s="4" t="n">
        <v>12.7</v>
      </c>
      <c r="H179" s="3" t="s">
        <v>22</v>
      </c>
      <c r="I179" s="6" t="n">
        <f aca="false">IF(H179="Heavy",0.16,0.08)</f>
        <v>0.08</v>
      </c>
      <c r="J179" s="7" t="n">
        <f aca="false">ROUND(G179*(2+I179),0)</f>
        <v>26</v>
      </c>
    </row>
    <row r="180" customFormat="false" ht="15" hidden="false" customHeight="true" outlineLevel="0" collapsed="false">
      <c r="A180" s="3" t="s">
        <v>549</v>
      </c>
      <c r="B180" s="3" t="s">
        <v>516</v>
      </c>
      <c r="C180" s="3" t="s">
        <v>621</v>
      </c>
      <c r="D180" s="3" t="s">
        <v>551</v>
      </c>
      <c r="E180" s="3" t="s">
        <v>622</v>
      </c>
      <c r="F180" s="3" t="s">
        <v>623</v>
      </c>
      <c r="G180" s="4" t="n">
        <v>12.7</v>
      </c>
      <c r="H180" s="3" t="s">
        <v>22</v>
      </c>
      <c r="I180" s="6" t="n">
        <f aca="false">IF(H180="Heavy",0.16,0.08)</f>
        <v>0.08</v>
      </c>
      <c r="J180" s="7" t="n">
        <f aca="false">ROUND(G180*(2+I180),0)</f>
        <v>26</v>
      </c>
    </row>
    <row r="181" customFormat="false" ht="15" hidden="false" customHeight="true" outlineLevel="0" collapsed="false">
      <c r="A181" s="3" t="s">
        <v>549</v>
      </c>
      <c r="B181" s="3" t="s">
        <v>516</v>
      </c>
      <c r="C181" s="3" t="s">
        <v>624</v>
      </c>
      <c r="D181" s="3" t="s">
        <v>551</v>
      </c>
      <c r="E181" s="3" t="s">
        <v>625</v>
      </c>
      <c r="F181" s="3" t="s">
        <v>626</v>
      </c>
      <c r="G181" s="4" t="n">
        <v>12.7</v>
      </c>
      <c r="H181" s="3" t="s">
        <v>22</v>
      </c>
      <c r="I181" s="6" t="n">
        <f aca="false">IF(H181="Heavy",0.16,0.08)</f>
        <v>0.08</v>
      </c>
      <c r="J181" s="7" t="n">
        <f aca="false">ROUND(G181*(2+I181),0)</f>
        <v>26</v>
      </c>
    </row>
    <row r="182" customFormat="false" ht="15" hidden="false" customHeight="true" outlineLevel="0" collapsed="false">
      <c r="A182" s="3" t="s">
        <v>549</v>
      </c>
      <c r="B182" s="3" t="s">
        <v>516</v>
      </c>
      <c r="C182" s="3" t="s">
        <v>627</v>
      </c>
      <c r="D182" s="3" t="s">
        <v>551</v>
      </c>
      <c r="E182" s="3" t="s">
        <v>628</v>
      </c>
      <c r="F182" s="3" t="s">
        <v>629</v>
      </c>
      <c r="G182" s="4" t="n">
        <v>12.7</v>
      </c>
      <c r="H182" s="3" t="s">
        <v>22</v>
      </c>
      <c r="I182" s="6" t="n">
        <f aca="false">IF(H182="Heavy",0.16,0.08)</f>
        <v>0.08</v>
      </c>
      <c r="J182" s="7" t="n">
        <f aca="false">ROUND(G182*(2+I182),0)</f>
        <v>26</v>
      </c>
    </row>
    <row r="183" customFormat="false" ht="15" hidden="false" customHeight="true" outlineLevel="0" collapsed="false">
      <c r="A183" s="3" t="s">
        <v>549</v>
      </c>
      <c r="B183" s="3" t="s">
        <v>516</v>
      </c>
      <c r="C183" s="3" t="s">
        <v>630</v>
      </c>
      <c r="D183" s="3" t="s">
        <v>551</v>
      </c>
      <c r="E183" s="3" t="s">
        <v>631</v>
      </c>
      <c r="F183" s="3" t="s">
        <v>632</v>
      </c>
      <c r="G183" s="4" t="n">
        <v>12.7</v>
      </c>
      <c r="H183" s="3" t="s">
        <v>22</v>
      </c>
      <c r="I183" s="6" t="n">
        <f aca="false">IF(H183="Heavy",0.16,0.08)</f>
        <v>0.08</v>
      </c>
      <c r="J183" s="7" t="n">
        <f aca="false">ROUND(G183*(2+I183),0)</f>
        <v>26</v>
      </c>
    </row>
    <row r="184" customFormat="false" ht="15" hidden="false" customHeight="true" outlineLevel="0" collapsed="false">
      <c r="A184" s="3" t="s">
        <v>549</v>
      </c>
      <c r="B184" s="3" t="s">
        <v>516</v>
      </c>
      <c r="C184" s="3" t="s">
        <v>633</v>
      </c>
      <c r="D184" s="3" t="s">
        <v>551</v>
      </c>
      <c r="E184" s="3" t="s">
        <v>634</v>
      </c>
      <c r="F184" s="3" t="s">
        <v>635</v>
      </c>
      <c r="G184" s="4" t="n">
        <v>12.7</v>
      </c>
      <c r="H184" s="3" t="s">
        <v>22</v>
      </c>
      <c r="I184" s="6" t="n">
        <f aca="false">IF(H184="Heavy",0.16,0.08)</f>
        <v>0.08</v>
      </c>
      <c r="J184" s="7" t="n">
        <f aca="false">ROUND(G184*(2+I184),0)</f>
        <v>26</v>
      </c>
    </row>
    <row r="185" customFormat="false" ht="15" hidden="false" customHeight="true" outlineLevel="0" collapsed="false">
      <c r="A185" s="3" t="s">
        <v>549</v>
      </c>
      <c r="B185" s="3" t="s">
        <v>516</v>
      </c>
      <c r="C185" s="3" t="s">
        <v>636</v>
      </c>
      <c r="D185" s="3" t="s">
        <v>551</v>
      </c>
      <c r="E185" s="3" t="s">
        <v>637</v>
      </c>
      <c r="F185" s="3" t="s">
        <v>638</v>
      </c>
      <c r="G185" s="4" t="n">
        <v>13.86</v>
      </c>
      <c r="H185" s="3" t="s">
        <v>22</v>
      </c>
      <c r="I185" s="6" t="n">
        <f aca="false">IF(H185="Heavy",0.16,0.08)</f>
        <v>0.08</v>
      </c>
      <c r="J185" s="7" t="n">
        <f aca="false">ROUND(G185*(2+I185),0)</f>
        <v>29</v>
      </c>
    </row>
    <row r="186" customFormat="false" ht="15" hidden="false" customHeight="true" outlineLevel="0" collapsed="false">
      <c r="A186" s="3" t="s">
        <v>549</v>
      </c>
      <c r="B186" s="3" t="s">
        <v>516</v>
      </c>
      <c r="C186" s="3" t="s">
        <v>639</v>
      </c>
      <c r="D186" s="3" t="s">
        <v>551</v>
      </c>
      <c r="E186" s="3" t="s">
        <v>640</v>
      </c>
      <c r="F186" s="3" t="s">
        <v>641</v>
      </c>
      <c r="G186" s="4" t="n">
        <v>10.18</v>
      </c>
      <c r="H186" s="3" t="s">
        <v>22</v>
      </c>
      <c r="I186" s="6" t="n">
        <f aca="false">IF(H186="Heavy",0.16,0.08)</f>
        <v>0.08</v>
      </c>
      <c r="J186" s="7" t="n">
        <f aca="false">ROUND(G186*(2+I186),0)</f>
        <v>21</v>
      </c>
    </row>
    <row r="187" customFormat="false" ht="15" hidden="false" customHeight="true" outlineLevel="0" collapsed="false">
      <c r="A187" s="3" t="s">
        <v>549</v>
      </c>
      <c r="B187" s="3" t="s">
        <v>516</v>
      </c>
      <c r="C187" s="3" t="s">
        <v>642</v>
      </c>
      <c r="D187" s="3" t="s">
        <v>643</v>
      </c>
      <c r="E187" s="3" t="s">
        <v>644</v>
      </c>
      <c r="F187" s="3" t="s">
        <v>645</v>
      </c>
      <c r="G187" s="4" t="n">
        <v>12.7</v>
      </c>
      <c r="H187" s="3" t="s">
        <v>22</v>
      </c>
      <c r="I187" s="6" t="n">
        <f aca="false">IF(H187="Heavy",0.16,0.08)</f>
        <v>0.08</v>
      </c>
      <c r="J187" s="7" t="n">
        <f aca="false">ROUND(G187*(2+I187),0)</f>
        <v>26</v>
      </c>
    </row>
    <row r="188" customFormat="false" ht="15" hidden="false" customHeight="true" outlineLevel="0" collapsed="false">
      <c r="A188" s="3" t="s">
        <v>549</v>
      </c>
      <c r="B188" s="3" t="s">
        <v>516</v>
      </c>
      <c r="C188" s="3" t="s">
        <v>646</v>
      </c>
      <c r="D188" s="3" t="s">
        <v>551</v>
      </c>
      <c r="E188" s="3" t="s">
        <v>647</v>
      </c>
      <c r="F188" s="3" t="s">
        <v>648</v>
      </c>
      <c r="G188" s="4" t="n">
        <v>12.7</v>
      </c>
      <c r="H188" s="3" t="s">
        <v>22</v>
      </c>
      <c r="I188" s="6" t="n">
        <f aca="false">IF(H188="Heavy",0.16,0.08)</f>
        <v>0.08</v>
      </c>
      <c r="J188" s="7" t="n">
        <f aca="false">ROUND(G188*(2+I188),0)</f>
        <v>26</v>
      </c>
    </row>
    <row r="189" customFormat="false" ht="15" hidden="false" customHeight="true" outlineLevel="0" collapsed="false">
      <c r="A189" s="3" t="s">
        <v>549</v>
      </c>
      <c r="B189" s="3" t="s">
        <v>516</v>
      </c>
      <c r="C189" s="3" t="s">
        <v>649</v>
      </c>
      <c r="D189" s="3" t="s">
        <v>551</v>
      </c>
      <c r="E189" s="3" t="s">
        <v>559</v>
      </c>
      <c r="F189" s="3" t="s">
        <v>650</v>
      </c>
      <c r="G189" s="4" t="n">
        <v>12.7</v>
      </c>
      <c r="H189" s="3" t="s">
        <v>22</v>
      </c>
      <c r="I189" s="6" t="n">
        <f aca="false">IF(H189="Heavy",0.16,0.08)</f>
        <v>0.08</v>
      </c>
      <c r="J189" s="7" t="n">
        <f aca="false">ROUND(G189*(2+I189),0)</f>
        <v>26</v>
      </c>
    </row>
    <row r="190" customFormat="false" ht="15" hidden="false" customHeight="true" outlineLevel="0" collapsed="false">
      <c r="A190" s="3" t="s">
        <v>549</v>
      </c>
      <c r="B190" s="3" t="s">
        <v>516</v>
      </c>
      <c r="C190" s="3" t="s">
        <v>651</v>
      </c>
      <c r="D190" s="3" t="s">
        <v>551</v>
      </c>
      <c r="E190" s="3" t="s">
        <v>652</v>
      </c>
      <c r="F190" s="3" t="s">
        <v>653</v>
      </c>
      <c r="G190" s="4" t="n">
        <v>12.7</v>
      </c>
      <c r="H190" s="3" t="s">
        <v>22</v>
      </c>
      <c r="I190" s="6" t="n">
        <f aca="false">IF(H190="Heavy",0.16,0.08)</f>
        <v>0.08</v>
      </c>
      <c r="J190" s="7" t="n">
        <f aca="false">ROUND(G190*(2+I190),0)</f>
        <v>26</v>
      </c>
    </row>
    <row r="191" customFormat="false" ht="15" hidden="false" customHeight="true" outlineLevel="0" collapsed="false">
      <c r="A191" s="3" t="s">
        <v>549</v>
      </c>
      <c r="B191" s="3" t="s">
        <v>516</v>
      </c>
      <c r="C191" s="3" t="s">
        <v>654</v>
      </c>
      <c r="D191" s="3" t="s">
        <v>551</v>
      </c>
      <c r="E191" s="3" t="s">
        <v>655</v>
      </c>
      <c r="F191" s="3" t="s">
        <v>656</v>
      </c>
      <c r="G191" s="4" t="n">
        <v>12.7</v>
      </c>
      <c r="H191" s="3" t="s">
        <v>22</v>
      </c>
      <c r="I191" s="6" t="n">
        <f aca="false">IF(H191="Heavy",0.16,0.08)</f>
        <v>0.08</v>
      </c>
      <c r="J191" s="7" t="n">
        <f aca="false">ROUND(G191*(2+I191),0)</f>
        <v>26</v>
      </c>
    </row>
    <row r="192" customFormat="false" ht="15" hidden="false" customHeight="true" outlineLevel="0" collapsed="false">
      <c r="A192" s="3" t="s">
        <v>549</v>
      </c>
      <c r="B192" s="3" t="s">
        <v>516</v>
      </c>
      <c r="C192" s="3" t="s">
        <v>657</v>
      </c>
      <c r="D192" s="3" t="s">
        <v>551</v>
      </c>
      <c r="E192" s="3" t="s">
        <v>658</v>
      </c>
      <c r="F192" s="3" t="s">
        <v>659</v>
      </c>
      <c r="G192" s="4" t="n">
        <v>12.7</v>
      </c>
      <c r="H192" s="3" t="s">
        <v>22</v>
      </c>
      <c r="I192" s="6" t="n">
        <f aca="false">IF(H192="Heavy",0.16,0.08)</f>
        <v>0.08</v>
      </c>
      <c r="J192" s="7" t="n">
        <f aca="false">ROUND(G192*(2+I192),0)</f>
        <v>26</v>
      </c>
    </row>
    <row r="193" customFormat="false" ht="15" hidden="false" customHeight="true" outlineLevel="0" collapsed="false">
      <c r="A193" s="3" t="s">
        <v>549</v>
      </c>
      <c r="B193" s="3" t="s">
        <v>516</v>
      </c>
      <c r="C193" s="3" t="s">
        <v>660</v>
      </c>
      <c r="D193" s="3" t="s">
        <v>551</v>
      </c>
      <c r="E193" s="3" t="s">
        <v>661</v>
      </c>
      <c r="F193" s="3" t="s">
        <v>662</v>
      </c>
      <c r="G193" s="4" t="n">
        <v>12.7</v>
      </c>
      <c r="H193" s="3" t="s">
        <v>22</v>
      </c>
      <c r="I193" s="6" t="n">
        <f aca="false">IF(H193="Heavy",0.16,0.08)</f>
        <v>0.08</v>
      </c>
      <c r="J193" s="7" t="n">
        <f aca="false">ROUND(G193*(2+I193),0)</f>
        <v>26</v>
      </c>
    </row>
    <row r="194" customFormat="false" ht="15" hidden="false" customHeight="true" outlineLevel="0" collapsed="false">
      <c r="A194" s="3" t="s">
        <v>549</v>
      </c>
      <c r="B194" s="3" t="s">
        <v>516</v>
      </c>
      <c r="C194" s="3" t="s">
        <v>663</v>
      </c>
      <c r="D194" s="3" t="s">
        <v>551</v>
      </c>
      <c r="E194" s="3" t="s">
        <v>664</v>
      </c>
      <c r="F194" s="3" t="s">
        <v>665</v>
      </c>
      <c r="G194" s="4" t="n">
        <v>12.7</v>
      </c>
      <c r="H194" s="3" t="s">
        <v>22</v>
      </c>
      <c r="I194" s="6" t="n">
        <f aca="false">IF(H194="Heavy",0.16,0.08)</f>
        <v>0.08</v>
      </c>
      <c r="J194" s="7" t="n">
        <f aca="false">ROUND(G194*(2+I194),0)</f>
        <v>26</v>
      </c>
    </row>
    <row r="195" customFormat="false" ht="15" hidden="false" customHeight="true" outlineLevel="0" collapsed="false">
      <c r="A195" s="3" t="s">
        <v>549</v>
      </c>
      <c r="B195" s="3" t="s">
        <v>516</v>
      </c>
      <c r="C195" s="3" t="s">
        <v>666</v>
      </c>
      <c r="D195" s="3" t="s">
        <v>551</v>
      </c>
      <c r="E195" s="3" t="s">
        <v>667</v>
      </c>
      <c r="F195" s="3" t="s">
        <v>668</v>
      </c>
      <c r="G195" s="4" t="n">
        <v>12.7</v>
      </c>
      <c r="H195" s="3" t="s">
        <v>22</v>
      </c>
      <c r="I195" s="6" t="n">
        <f aca="false">IF(H195="Heavy",0.16,0.08)</f>
        <v>0.08</v>
      </c>
      <c r="J195" s="7" t="n">
        <f aca="false">ROUND(G195*(2+I195),0)</f>
        <v>26</v>
      </c>
    </row>
    <row r="196" customFormat="false" ht="15" hidden="false" customHeight="true" outlineLevel="0" collapsed="false">
      <c r="A196" s="3" t="s">
        <v>549</v>
      </c>
      <c r="B196" s="3" t="s">
        <v>516</v>
      </c>
      <c r="C196" s="3" t="s">
        <v>669</v>
      </c>
      <c r="D196" s="3" t="s">
        <v>551</v>
      </c>
      <c r="E196" s="3" t="s">
        <v>670</v>
      </c>
      <c r="F196" s="3" t="s">
        <v>671</v>
      </c>
      <c r="G196" s="4" t="n">
        <v>12.7</v>
      </c>
      <c r="H196" s="3" t="s">
        <v>22</v>
      </c>
      <c r="I196" s="6" t="n">
        <f aca="false">IF(H196="Heavy",0.16,0.08)</f>
        <v>0.08</v>
      </c>
      <c r="J196" s="7" t="n">
        <f aca="false">ROUND(G196*(2+I196),0)</f>
        <v>26</v>
      </c>
    </row>
    <row r="197" customFormat="false" ht="15" hidden="false" customHeight="true" outlineLevel="0" collapsed="false">
      <c r="A197" s="3" t="s">
        <v>549</v>
      </c>
      <c r="B197" s="3" t="s">
        <v>516</v>
      </c>
      <c r="C197" s="3" t="s">
        <v>672</v>
      </c>
      <c r="D197" s="3" t="s">
        <v>551</v>
      </c>
      <c r="E197" s="3" t="s">
        <v>673</v>
      </c>
      <c r="F197" s="3" t="s">
        <v>674</v>
      </c>
      <c r="G197" s="4" t="n">
        <v>12.7</v>
      </c>
      <c r="H197" s="3" t="s">
        <v>22</v>
      </c>
      <c r="I197" s="6" t="n">
        <f aca="false">IF(H197="Heavy",0.16,0.08)</f>
        <v>0.08</v>
      </c>
      <c r="J197" s="7" t="n">
        <f aca="false">ROUND(G197*(2+I197),0)</f>
        <v>26</v>
      </c>
    </row>
    <row r="198" customFormat="false" ht="15" hidden="false" customHeight="true" outlineLevel="0" collapsed="false">
      <c r="A198" s="3" t="s">
        <v>549</v>
      </c>
      <c r="B198" s="3" t="s">
        <v>516</v>
      </c>
      <c r="C198" s="3" t="s">
        <v>675</v>
      </c>
      <c r="D198" s="3" t="s">
        <v>551</v>
      </c>
      <c r="E198" s="3" t="s">
        <v>676</v>
      </c>
      <c r="F198" s="3" t="s">
        <v>677</v>
      </c>
      <c r="G198" s="4" t="n">
        <v>12.7</v>
      </c>
      <c r="H198" s="3" t="s">
        <v>22</v>
      </c>
      <c r="I198" s="6" t="n">
        <f aca="false">IF(H198="Heavy",0.16,0.08)</f>
        <v>0.08</v>
      </c>
      <c r="J198" s="7" t="n">
        <f aca="false">ROUND(G198*(2+I198),0)</f>
        <v>26</v>
      </c>
    </row>
    <row r="199" customFormat="false" ht="15" hidden="false" customHeight="true" outlineLevel="0" collapsed="false">
      <c r="A199" s="3" t="s">
        <v>549</v>
      </c>
      <c r="B199" s="3" t="s">
        <v>516</v>
      </c>
      <c r="C199" s="3" t="s">
        <v>678</v>
      </c>
      <c r="D199" s="3" t="s">
        <v>551</v>
      </c>
      <c r="E199" s="3" t="s">
        <v>679</v>
      </c>
      <c r="F199" s="3" t="s">
        <v>680</v>
      </c>
      <c r="G199" s="4" t="n">
        <v>12.7</v>
      </c>
      <c r="H199" s="3" t="s">
        <v>22</v>
      </c>
      <c r="I199" s="6" t="n">
        <f aca="false">IF(H199="Heavy",0.16,0.08)</f>
        <v>0.08</v>
      </c>
      <c r="J199" s="7" t="n">
        <f aca="false">ROUND(G199*(2+I199),0)</f>
        <v>26</v>
      </c>
    </row>
    <row r="200" customFormat="false" ht="15" hidden="false" customHeight="true" outlineLevel="0" collapsed="false">
      <c r="A200" s="3" t="s">
        <v>549</v>
      </c>
      <c r="B200" s="3" t="s">
        <v>516</v>
      </c>
      <c r="C200" s="3" t="s">
        <v>681</v>
      </c>
      <c r="D200" s="3" t="s">
        <v>551</v>
      </c>
      <c r="E200" s="3" t="s">
        <v>682</v>
      </c>
      <c r="F200" s="3" t="s">
        <v>683</v>
      </c>
      <c r="G200" s="4" t="n">
        <v>12.7</v>
      </c>
      <c r="H200" s="3" t="s">
        <v>22</v>
      </c>
      <c r="I200" s="6" t="n">
        <f aca="false">IF(H200="Heavy",0.16,0.08)</f>
        <v>0.08</v>
      </c>
      <c r="J200" s="7" t="n">
        <f aca="false">ROUND(G200*(2+I200),0)</f>
        <v>26</v>
      </c>
    </row>
    <row r="201" customFormat="false" ht="23.25" hidden="false" customHeight="true" outlineLevel="0" collapsed="false">
      <c r="A201" s="3" t="s">
        <v>549</v>
      </c>
      <c r="B201" s="3" t="s">
        <v>516</v>
      </c>
      <c r="C201" s="3" t="s">
        <v>684</v>
      </c>
      <c r="D201" s="3" t="s">
        <v>551</v>
      </c>
      <c r="E201" s="3" t="s">
        <v>685</v>
      </c>
      <c r="F201" s="3" t="s">
        <v>686</v>
      </c>
      <c r="G201" s="4" t="n">
        <v>12.7</v>
      </c>
      <c r="H201" s="3" t="s">
        <v>22</v>
      </c>
      <c r="I201" s="6" t="n">
        <f aca="false">IF(H201="Heavy",0.16,0.08)</f>
        <v>0.08</v>
      </c>
      <c r="J201" s="7" t="n">
        <f aca="false">ROUND(G201*(2+I201),0)</f>
        <v>26</v>
      </c>
    </row>
    <row r="202" customFormat="false" ht="15" hidden="false" customHeight="true" outlineLevel="0" collapsed="false">
      <c r="A202" s="3" t="s">
        <v>687</v>
      </c>
      <c r="B202" s="3" t="s">
        <v>516</v>
      </c>
      <c r="C202" s="3" t="s">
        <v>688</v>
      </c>
      <c r="D202" s="3" t="s">
        <v>689</v>
      </c>
      <c r="E202" s="3" t="s">
        <v>690</v>
      </c>
      <c r="F202" s="3" t="s">
        <v>691</v>
      </c>
      <c r="G202" s="4" t="n">
        <v>15.17</v>
      </c>
      <c r="H202" s="5" t="s">
        <v>16</v>
      </c>
      <c r="I202" s="6" t="n">
        <f aca="false">IF(H202="Heavy",0.16,0.08)</f>
        <v>0.16</v>
      </c>
      <c r="J202" s="7" t="n">
        <f aca="false">ROUND(G202*(2+I202),0)</f>
        <v>33</v>
      </c>
    </row>
    <row r="203" customFormat="false" ht="15" hidden="false" customHeight="true" outlineLevel="0" collapsed="false">
      <c r="A203" s="3" t="s">
        <v>687</v>
      </c>
      <c r="B203" s="3" t="s">
        <v>516</v>
      </c>
      <c r="C203" s="3" t="s">
        <v>692</v>
      </c>
      <c r="D203" s="3" t="s">
        <v>689</v>
      </c>
      <c r="E203" s="3" t="s">
        <v>693</v>
      </c>
      <c r="F203" s="3" t="s">
        <v>694</v>
      </c>
      <c r="G203" s="4" t="n">
        <v>23.14</v>
      </c>
      <c r="H203" s="5" t="s">
        <v>16</v>
      </c>
      <c r="I203" s="6" t="n">
        <f aca="false">IF(H203="Heavy",0.16,0.08)</f>
        <v>0.16</v>
      </c>
      <c r="J203" s="7" t="n">
        <f aca="false">ROUND(G203*(2+I203),0)</f>
        <v>50</v>
      </c>
    </row>
    <row r="204" customFormat="false" ht="15" hidden="false" customHeight="true" outlineLevel="0" collapsed="false">
      <c r="A204" s="3" t="s">
        <v>687</v>
      </c>
      <c r="B204" s="3" t="s">
        <v>516</v>
      </c>
      <c r="C204" s="3" t="s">
        <v>695</v>
      </c>
      <c r="D204" s="3" t="s">
        <v>689</v>
      </c>
      <c r="E204" s="3" t="s">
        <v>696</v>
      </c>
      <c r="F204" s="3" t="s">
        <v>697</v>
      </c>
      <c r="G204" s="4" t="n">
        <v>16.21</v>
      </c>
      <c r="H204" s="5" t="s">
        <v>16</v>
      </c>
      <c r="I204" s="6" t="n">
        <f aca="false">IF(H204="Heavy",0.16,0.08)</f>
        <v>0.16</v>
      </c>
      <c r="J204" s="7" t="n">
        <f aca="false">ROUND(G204*(2+I204),0)</f>
        <v>35</v>
      </c>
    </row>
    <row r="205" customFormat="false" ht="15" hidden="false" customHeight="true" outlineLevel="0" collapsed="false">
      <c r="A205" s="3" t="s">
        <v>687</v>
      </c>
      <c r="B205" s="3" t="s">
        <v>516</v>
      </c>
      <c r="C205" s="3" t="s">
        <v>698</v>
      </c>
      <c r="D205" s="3" t="s">
        <v>689</v>
      </c>
      <c r="E205" s="3" t="s">
        <v>699</v>
      </c>
      <c r="F205" s="3" t="s">
        <v>700</v>
      </c>
      <c r="G205" s="4" t="n">
        <v>25.07</v>
      </c>
      <c r="H205" s="5" t="s">
        <v>16</v>
      </c>
      <c r="I205" s="6" t="n">
        <f aca="false">IF(H205="Heavy",0.16,0.08)</f>
        <v>0.16</v>
      </c>
      <c r="J205" s="7" t="n">
        <f aca="false">ROUND(G205*(2+I205),0)</f>
        <v>54</v>
      </c>
    </row>
    <row r="206" customFormat="false" ht="15" hidden="false" customHeight="true" outlineLevel="0" collapsed="false">
      <c r="A206" s="3" t="s">
        <v>687</v>
      </c>
      <c r="B206" s="3" t="s">
        <v>516</v>
      </c>
      <c r="C206" s="3" t="s">
        <v>701</v>
      </c>
      <c r="D206" s="3" t="s">
        <v>689</v>
      </c>
      <c r="E206" s="3" t="s">
        <v>702</v>
      </c>
      <c r="F206" s="3" t="s">
        <v>703</v>
      </c>
      <c r="G206" s="4" t="n">
        <v>16.21</v>
      </c>
      <c r="H206" s="5" t="s">
        <v>16</v>
      </c>
      <c r="I206" s="6" t="n">
        <f aca="false">IF(H206="Heavy",0.16,0.08)</f>
        <v>0.16</v>
      </c>
      <c r="J206" s="7" t="n">
        <f aca="false">ROUND(G206*(2+I206),0)</f>
        <v>35</v>
      </c>
    </row>
    <row r="207" customFormat="false" ht="15" hidden="false" customHeight="true" outlineLevel="0" collapsed="false">
      <c r="A207" s="3" t="s">
        <v>687</v>
      </c>
      <c r="B207" s="3" t="s">
        <v>516</v>
      </c>
      <c r="C207" s="3" t="s">
        <v>704</v>
      </c>
      <c r="D207" s="3" t="s">
        <v>689</v>
      </c>
      <c r="E207" s="3" t="s">
        <v>705</v>
      </c>
      <c r="F207" s="3" t="s">
        <v>706</v>
      </c>
      <c r="G207" s="4" t="n">
        <v>25.07</v>
      </c>
      <c r="H207" s="5" t="s">
        <v>16</v>
      </c>
      <c r="I207" s="6" t="n">
        <f aca="false">IF(H207="Heavy",0.16,0.08)</f>
        <v>0.16</v>
      </c>
      <c r="J207" s="7" t="n">
        <f aca="false">ROUND(G207*(2+I207),0)</f>
        <v>54</v>
      </c>
    </row>
    <row r="208" customFormat="false" ht="15" hidden="false" customHeight="true" outlineLevel="0" collapsed="false">
      <c r="A208" s="3" t="s">
        <v>687</v>
      </c>
      <c r="B208" s="3" t="s">
        <v>516</v>
      </c>
      <c r="C208" s="3" t="s">
        <v>707</v>
      </c>
      <c r="D208" s="3" t="s">
        <v>689</v>
      </c>
      <c r="E208" s="3" t="s">
        <v>708</v>
      </c>
      <c r="F208" s="3" t="s">
        <v>709</v>
      </c>
      <c r="G208" s="4" t="n">
        <v>16.21</v>
      </c>
      <c r="H208" s="5" t="s">
        <v>16</v>
      </c>
      <c r="I208" s="6" t="n">
        <f aca="false">IF(H208="Heavy",0.16,0.08)</f>
        <v>0.16</v>
      </c>
      <c r="J208" s="7" t="n">
        <f aca="false">ROUND(G208*(2+I208),0)</f>
        <v>35</v>
      </c>
    </row>
    <row r="209" customFormat="false" ht="15" hidden="false" customHeight="true" outlineLevel="0" collapsed="false">
      <c r="A209" s="3" t="s">
        <v>687</v>
      </c>
      <c r="B209" s="3" t="s">
        <v>516</v>
      </c>
      <c r="C209" s="3" t="s">
        <v>710</v>
      </c>
      <c r="D209" s="3" t="s">
        <v>689</v>
      </c>
      <c r="E209" s="3" t="s">
        <v>711</v>
      </c>
      <c r="F209" s="3" t="s">
        <v>712</v>
      </c>
      <c r="G209" s="4" t="n">
        <v>25.07</v>
      </c>
      <c r="H209" s="5" t="s">
        <v>16</v>
      </c>
      <c r="I209" s="6" t="n">
        <f aca="false">IF(H209="Heavy",0.16,0.08)</f>
        <v>0.16</v>
      </c>
      <c r="J209" s="7" t="n">
        <f aca="false">ROUND(G209*(2+I209),0)</f>
        <v>54</v>
      </c>
    </row>
    <row r="210" customFormat="false" ht="15" hidden="false" customHeight="true" outlineLevel="0" collapsed="false">
      <c r="A210" s="3" t="s">
        <v>687</v>
      </c>
      <c r="B210" s="3" t="s">
        <v>516</v>
      </c>
      <c r="C210" s="3" t="s">
        <v>713</v>
      </c>
      <c r="D210" s="3" t="s">
        <v>689</v>
      </c>
      <c r="E210" s="3" t="s">
        <v>714</v>
      </c>
      <c r="F210" s="3" t="s">
        <v>715</v>
      </c>
      <c r="G210" s="4" t="n">
        <v>16.21</v>
      </c>
      <c r="H210" s="5" t="s">
        <v>16</v>
      </c>
      <c r="I210" s="6" t="n">
        <f aca="false">IF(H210="Heavy",0.16,0.08)</f>
        <v>0.16</v>
      </c>
      <c r="J210" s="7" t="n">
        <f aca="false">ROUND(G210*(2+I210),0)</f>
        <v>35</v>
      </c>
    </row>
    <row r="211" customFormat="false" ht="15" hidden="false" customHeight="true" outlineLevel="0" collapsed="false">
      <c r="A211" s="3" t="s">
        <v>687</v>
      </c>
      <c r="B211" s="3" t="s">
        <v>516</v>
      </c>
      <c r="C211" s="3" t="s">
        <v>716</v>
      </c>
      <c r="D211" s="3" t="s">
        <v>689</v>
      </c>
      <c r="E211" s="3" t="s">
        <v>717</v>
      </c>
      <c r="F211" s="3" t="s">
        <v>718</v>
      </c>
      <c r="G211" s="4" t="n">
        <v>25.07</v>
      </c>
      <c r="H211" s="5" t="s">
        <v>16</v>
      </c>
      <c r="I211" s="6" t="n">
        <f aca="false">IF(H211="Heavy",0.16,0.08)</f>
        <v>0.16</v>
      </c>
      <c r="J211" s="7" t="n">
        <f aca="false">ROUND(G211*(2+I211),0)</f>
        <v>54</v>
      </c>
    </row>
    <row r="212" customFormat="false" ht="15" hidden="false" customHeight="true" outlineLevel="0" collapsed="false">
      <c r="A212" s="3" t="s">
        <v>719</v>
      </c>
      <c r="B212" s="3" t="s">
        <v>516</v>
      </c>
      <c r="C212" s="3" t="s">
        <v>720</v>
      </c>
      <c r="D212" s="3" t="s">
        <v>721</v>
      </c>
      <c r="E212" s="3" t="s">
        <v>722</v>
      </c>
      <c r="F212" s="3" t="s">
        <v>723</v>
      </c>
      <c r="G212" s="4" t="n">
        <v>12.7</v>
      </c>
      <c r="H212" s="3" t="s">
        <v>22</v>
      </c>
      <c r="I212" s="6" t="n">
        <f aca="false">IF(H212="Heavy",0.16,0.08)</f>
        <v>0.08</v>
      </c>
      <c r="J212" s="7" t="n">
        <f aca="false">ROUND(G212*(2+I212),0)</f>
        <v>26</v>
      </c>
    </row>
    <row r="213" customFormat="false" ht="23.25" hidden="false" customHeight="true" outlineLevel="0" collapsed="false">
      <c r="A213" s="3" t="s">
        <v>719</v>
      </c>
      <c r="B213" s="3" t="s">
        <v>516</v>
      </c>
      <c r="C213" s="3" t="s">
        <v>724</v>
      </c>
      <c r="D213" s="3" t="s">
        <v>721</v>
      </c>
      <c r="E213" s="3" t="s">
        <v>616</v>
      </c>
      <c r="F213" s="3" t="s">
        <v>725</v>
      </c>
      <c r="G213" s="4" t="n">
        <v>12.7</v>
      </c>
      <c r="H213" s="3" t="s">
        <v>22</v>
      </c>
      <c r="I213" s="6" t="n">
        <f aca="false">IF(H213="Heavy",0.16,0.08)</f>
        <v>0.08</v>
      </c>
      <c r="J213" s="7" t="n">
        <f aca="false">ROUND(G213*(2+I213),0)</f>
        <v>26</v>
      </c>
    </row>
    <row r="214" customFormat="false" ht="23.25" hidden="false" customHeight="true" outlineLevel="0" collapsed="false">
      <c r="A214" s="3" t="s">
        <v>719</v>
      </c>
      <c r="B214" s="3" t="s">
        <v>516</v>
      </c>
      <c r="C214" s="3" t="s">
        <v>726</v>
      </c>
      <c r="D214" s="3" t="s">
        <v>721</v>
      </c>
      <c r="E214" s="3" t="s">
        <v>727</v>
      </c>
      <c r="F214" s="3" t="s">
        <v>728</v>
      </c>
      <c r="G214" s="4" t="n">
        <v>12.7</v>
      </c>
      <c r="H214" s="3" t="s">
        <v>22</v>
      </c>
      <c r="I214" s="6" t="n">
        <f aca="false">IF(H214="Heavy",0.16,0.08)</f>
        <v>0.08</v>
      </c>
      <c r="J214" s="7" t="n">
        <f aca="false">ROUND(G214*(2+I214),0)</f>
        <v>26</v>
      </c>
    </row>
    <row r="215" customFormat="false" ht="23.25" hidden="false" customHeight="true" outlineLevel="0" collapsed="false">
      <c r="A215" s="3" t="s">
        <v>719</v>
      </c>
      <c r="B215" s="3" t="s">
        <v>516</v>
      </c>
      <c r="C215" s="3" t="s">
        <v>729</v>
      </c>
      <c r="D215" s="3" t="s">
        <v>721</v>
      </c>
      <c r="E215" s="3" t="s">
        <v>730</v>
      </c>
      <c r="F215" s="3" t="s">
        <v>731</v>
      </c>
      <c r="G215" s="4" t="n">
        <v>12.7</v>
      </c>
      <c r="H215" s="3" t="s">
        <v>22</v>
      </c>
      <c r="I215" s="6" t="n">
        <f aca="false">IF(H215="Heavy",0.16,0.08)</f>
        <v>0.08</v>
      </c>
      <c r="J215" s="7" t="n">
        <f aca="false">ROUND(G215*(2+I215),0)</f>
        <v>26</v>
      </c>
    </row>
    <row r="216" customFormat="false" ht="23.25" hidden="false" customHeight="true" outlineLevel="0" collapsed="false">
      <c r="A216" s="3" t="s">
        <v>719</v>
      </c>
      <c r="B216" s="3" t="s">
        <v>516</v>
      </c>
      <c r="C216" s="3" t="s">
        <v>732</v>
      </c>
      <c r="D216" s="3" t="s">
        <v>721</v>
      </c>
      <c r="E216" s="3" t="s">
        <v>733</v>
      </c>
      <c r="F216" s="3" t="s">
        <v>734</v>
      </c>
      <c r="G216" s="4" t="n">
        <v>12.7</v>
      </c>
      <c r="H216" s="3" t="s">
        <v>22</v>
      </c>
      <c r="I216" s="6" t="n">
        <f aca="false">IF(H216="Heavy",0.16,0.08)</f>
        <v>0.08</v>
      </c>
      <c r="J216" s="7" t="n">
        <f aca="false">ROUND(G216*(2+I216),0)</f>
        <v>26</v>
      </c>
    </row>
    <row r="217" customFormat="false" ht="23.25" hidden="false" customHeight="true" outlineLevel="0" collapsed="false">
      <c r="A217" s="3" t="s">
        <v>719</v>
      </c>
      <c r="B217" s="3" t="s">
        <v>516</v>
      </c>
      <c r="C217" s="3" t="s">
        <v>735</v>
      </c>
      <c r="D217" s="3" t="s">
        <v>721</v>
      </c>
      <c r="E217" s="3" t="s">
        <v>736</v>
      </c>
      <c r="F217" s="3" t="s">
        <v>737</v>
      </c>
      <c r="G217" s="4" t="n">
        <v>12.7</v>
      </c>
      <c r="H217" s="3" t="s">
        <v>22</v>
      </c>
      <c r="I217" s="6" t="n">
        <f aca="false">IF(H217="Heavy",0.16,0.08)</f>
        <v>0.08</v>
      </c>
      <c r="J217" s="7" t="n">
        <f aca="false">ROUND(G217*(2+I217),0)</f>
        <v>26</v>
      </c>
    </row>
    <row r="218" customFormat="false" ht="15" hidden="false" customHeight="true" outlineLevel="0" collapsed="false">
      <c r="A218" s="3" t="s">
        <v>225</v>
      </c>
      <c r="B218" s="3" t="s">
        <v>516</v>
      </c>
      <c r="C218" s="3" t="s">
        <v>738</v>
      </c>
      <c r="D218" s="3" t="s">
        <v>234</v>
      </c>
      <c r="E218" s="3" t="s">
        <v>123</v>
      </c>
      <c r="F218" s="3" t="s">
        <v>739</v>
      </c>
      <c r="G218" s="4" t="n">
        <v>10.04</v>
      </c>
      <c r="H218" s="3" t="s">
        <v>22</v>
      </c>
      <c r="I218" s="6" t="n">
        <f aca="false">IF(H218="Heavy",0.16,0.08)</f>
        <v>0.08</v>
      </c>
      <c r="J218" s="7" t="n">
        <f aca="false">ROUND(G218*(2+I218),0)</f>
        <v>21</v>
      </c>
    </row>
    <row r="219" customFormat="false" ht="15" hidden="false" customHeight="true" outlineLevel="0" collapsed="false">
      <c r="A219" s="3" t="s">
        <v>225</v>
      </c>
      <c r="B219" s="3" t="s">
        <v>516</v>
      </c>
      <c r="C219" s="3" t="s">
        <v>740</v>
      </c>
      <c r="D219" s="3" t="s">
        <v>234</v>
      </c>
      <c r="E219" s="3" t="s">
        <v>216</v>
      </c>
      <c r="F219" s="3" t="s">
        <v>741</v>
      </c>
      <c r="G219" s="4" t="n">
        <v>6.68</v>
      </c>
      <c r="H219" s="3" t="s">
        <v>22</v>
      </c>
      <c r="I219" s="6" t="n">
        <f aca="false">IF(H219="Heavy",0.16,0.08)</f>
        <v>0.08</v>
      </c>
      <c r="J219" s="7" t="n">
        <f aca="false">ROUND(G219*(2+I219),0)</f>
        <v>14</v>
      </c>
    </row>
    <row r="220" customFormat="false" ht="15" hidden="false" customHeight="true" outlineLevel="0" collapsed="false">
      <c r="A220" s="3" t="s">
        <v>183</v>
      </c>
      <c r="B220" s="3" t="s">
        <v>516</v>
      </c>
      <c r="C220" s="3" t="s">
        <v>742</v>
      </c>
      <c r="D220" s="3" t="s">
        <v>743</v>
      </c>
      <c r="E220" s="3"/>
      <c r="F220" s="3" t="s">
        <v>744</v>
      </c>
      <c r="G220" s="4" t="n">
        <v>20.92</v>
      </c>
      <c r="H220" s="3" t="s">
        <v>22</v>
      </c>
      <c r="I220" s="6" t="n">
        <f aca="false">IF(H220="Heavy",0.16,0.08)</f>
        <v>0.08</v>
      </c>
      <c r="J220" s="7" t="n">
        <f aca="false">ROUND(G220*(2+I220),0)</f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0"/>
  </cols>
  <sheetData>
    <row r="1" customFormat="false" ht="17.25" hidden="false" customHeight="true" outlineLevel="0" collapsed="false">
      <c r="A1" s="8" t="s">
        <v>745</v>
      </c>
    </row>
    <row r="2" customFormat="false" ht="15" hidden="false" customHeight="true" outlineLevel="0" collapsed="false">
      <c r="A2" s="9"/>
      <c r="B2" s="10"/>
    </row>
    <row r="3" customFormat="false" ht="15" hidden="false" customHeight="true" outlineLevel="0" collapsed="false">
      <c r="A3" s="9" t="s">
        <v>746</v>
      </c>
      <c r="B3" s="10" t="s">
        <v>747</v>
      </c>
    </row>
    <row r="4" customFormat="false" ht="15" hidden="false" customHeight="true" outlineLevel="0" collapsed="false">
      <c r="A4" s="9"/>
      <c r="B4" s="10"/>
    </row>
    <row r="5" customFormat="false" ht="26.25" hidden="false" customHeight="true" outlineLevel="0" collapsed="false">
      <c r="A5" s="9" t="s">
        <v>748</v>
      </c>
      <c r="B5" s="10" t="s">
        <v>749</v>
      </c>
    </row>
    <row r="6" customFormat="false" ht="26.25" hidden="false" customHeight="true" outlineLevel="0" collapsed="false">
      <c r="A6" s="9" t="s">
        <v>750</v>
      </c>
      <c r="B6" s="10" t="s">
        <v>751</v>
      </c>
    </row>
    <row r="7" customFormat="false" ht="15" hidden="false" customHeight="true" outlineLevel="0" collapsed="false">
      <c r="A7" s="9"/>
      <c r="B7" s="10"/>
    </row>
    <row r="8" customFormat="false" ht="15" hidden="false" customHeight="true" outlineLevel="0" collapsed="false">
      <c r="A8" s="9" t="s">
        <v>752</v>
      </c>
      <c r="B8" s="10" t="s">
        <v>753</v>
      </c>
    </row>
    <row r="9" customFormat="false" ht="15" hidden="false" customHeight="true" outlineLevel="0" collapsed="false">
      <c r="A9" s="9" t="s">
        <v>754</v>
      </c>
      <c r="B9" s="10" t="s">
        <v>755</v>
      </c>
    </row>
    <row r="10" customFormat="false" ht="15" hidden="false" customHeight="true" outlineLevel="0" collapsed="false">
      <c r="A10" s="9" t="s">
        <v>756</v>
      </c>
      <c r="B10" s="10" t="s">
        <v>757</v>
      </c>
    </row>
    <row r="11" customFormat="false" ht="15" hidden="false" customHeight="true" outlineLevel="0" collapsed="false">
      <c r="A11" s="9"/>
      <c r="B11" s="10"/>
    </row>
    <row r="12" customFormat="false" ht="26.25" hidden="false" customHeight="true" outlineLevel="0" collapsed="false">
      <c r="A12" s="9" t="s">
        <v>758</v>
      </c>
      <c r="B12" s="10" t="s">
        <v>759</v>
      </c>
    </row>
    <row r="13" customFormat="false" ht="26.25" hidden="false" customHeight="true" outlineLevel="0" collapsed="false">
      <c r="A13" s="9" t="s">
        <v>760</v>
      </c>
      <c r="B13" s="10" t="s">
        <v>761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2026-04-21T21:29:53Z</dcterms:created>
  <dc:creator>openpyxl</dc:creator>
  <dc:description/>
  <dc:language>en-US</dc:language>
  <cp:lastModifiedBy/>
  <dcterms:modified xsi:type="dcterms:W3CDTF">2026-04-21T21:39:02Z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